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h30mol_eduvaud_ch/Documents/TPI/"/>
    </mc:Choice>
  </mc:AlternateContent>
  <xr:revisionPtr revIDLastSave="1017" documentId="8_{9584CB52-98E4-43AF-AFDA-3F8FA7EE134D}" xr6:coauthVersionLast="47" xr6:coauthVersionMax="47" xr10:uidLastSave="{8318155A-F7C9-4E3D-AA39-3515BE1BECFC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2">Planning!$B$2:$G$325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D19" i="12"/>
  <c r="C36" i="12"/>
  <c r="D35" i="12"/>
  <c r="D34" i="12"/>
  <c r="D33" i="12"/>
  <c r="D32" i="12"/>
  <c r="C48" i="12"/>
  <c r="D47" i="12"/>
  <c r="D46" i="12"/>
  <c r="D45" i="12"/>
  <c r="D44" i="12"/>
  <c r="C60" i="12"/>
  <c r="D59" i="12"/>
  <c r="D58" i="12"/>
  <c r="D57" i="12"/>
  <c r="D56" i="12"/>
  <c r="C72" i="12"/>
  <c r="D71" i="12"/>
  <c r="D70" i="12"/>
  <c r="D69" i="12"/>
  <c r="D68" i="12"/>
  <c r="D67" i="12"/>
  <c r="C84" i="12"/>
  <c r="D83" i="12"/>
  <c r="D82" i="12"/>
  <c r="D81" i="12"/>
  <c r="C96" i="12"/>
  <c r="D95" i="12"/>
  <c r="D94" i="12"/>
  <c r="D93" i="12"/>
  <c r="D92" i="12"/>
  <c r="D91" i="12"/>
  <c r="D90" i="12"/>
  <c r="C108" i="12"/>
  <c r="D107" i="12"/>
  <c r="D106" i="12"/>
  <c r="D105" i="12"/>
  <c r="D104" i="12"/>
  <c r="C12" i="10"/>
  <c r="D10" i="10"/>
  <c r="D9" i="10"/>
  <c r="D8" i="10"/>
  <c r="D7" i="10"/>
  <c r="C24" i="10"/>
  <c r="D22" i="10"/>
  <c r="D21" i="10"/>
  <c r="D20" i="10"/>
  <c r="D19" i="10"/>
  <c r="D18" i="10"/>
  <c r="C36" i="10"/>
  <c r="D34" i="10"/>
  <c r="D33" i="10"/>
  <c r="D32" i="10"/>
  <c r="D31" i="10"/>
  <c r="D30" i="10"/>
  <c r="C48" i="10"/>
  <c r="D46" i="10"/>
  <c r="D45" i="10"/>
  <c r="D44" i="10"/>
  <c r="D43" i="10"/>
  <c r="D42" i="10"/>
  <c r="D41" i="10"/>
  <c r="C60" i="10"/>
  <c r="D58" i="10"/>
  <c r="D57" i="10"/>
  <c r="D56" i="10"/>
  <c r="D55" i="10"/>
  <c r="D54" i="10"/>
  <c r="C72" i="10"/>
  <c r="D70" i="10"/>
  <c r="D69" i="10"/>
  <c r="D68" i="10"/>
  <c r="D67" i="10"/>
  <c r="D66" i="10"/>
  <c r="C84" i="10"/>
  <c r="D82" i="10"/>
  <c r="D81" i="10"/>
  <c r="D80" i="10"/>
  <c r="D79" i="10"/>
  <c r="D78" i="10"/>
  <c r="C96" i="10"/>
  <c r="D94" i="10"/>
  <c r="D93" i="10"/>
  <c r="D92" i="10"/>
  <c r="D91" i="10"/>
  <c r="D90" i="10"/>
  <c r="C108" i="10"/>
  <c r="D106" i="10"/>
  <c r="D105" i="10"/>
  <c r="D104" i="10"/>
  <c r="D103" i="10"/>
  <c r="D102" i="10"/>
  <c r="C120" i="10"/>
  <c r="D118" i="10"/>
  <c r="D117" i="10"/>
  <c r="D116" i="10"/>
  <c r="D115" i="10"/>
  <c r="D114" i="10"/>
  <c r="C132" i="10"/>
  <c r="D130" i="10"/>
  <c r="D129" i="10"/>
  <c r="D128" i="10"/>
  <c r="D127" i="10"/>
  <c r="D126" i="10"/>
  <c r="C144" i="10"/>
  <c r="D142" i="10"/>
  <c r="D141" i="10"/>
  <c r="D140" i="10"/>
  <c r="D139" i="10"/>
  <c r="D138" i="10"/>
  <c r="C156" i="10"/>
  <c r="D154" i="10"/>
  <c r="D153" i="10"/>
  <c r="C168" i="10"/>
  <c r="D166" i="10"/>
  <c r="D165" i="10"/>
  <c r="D164" i="10"/>
  <c r="D163" i="10"/>
  <c r="D162" i="10"/>
  <c r="C180" i="10"/>
  <c r="D178" i="10"/>
  <c r="D177" i="10"/>
  <c r="D176" i="10"/>
  <c r="D175" i="10"/>
  <c r="D174" i="10"/>
  <c r="C192" i="10"/>
  <c r="D190" i="10"/>
  <c r="D189" i="10"/>
  <c r="D188" i="10"/>
  <c r="D187" i="10"/>
  <c r="C204" i="10"/>
  <c r="D202" i="10"/>
  <c r="D201" i="10"/>
  <c r="D200" i="10"/>
  <c r="D199" i="10"/>
  <c r="D198" i="10"/>
  <c r="C216" i="10"/>
  <c r="D214" i="10"/>
  <c r="D213" i="10"/>
  <c r="D212" i="10"/>
  <c r="D211" i="10"/>
  <c r="D210" i="10"/>
  <c r="C228" i="10"/>
  <c r="D226" i="10"/>
  <c r="D225" i="10"/>
  <c r="D224" i="10"/>
  <c r="D223" i="10"/>
  <c r="D222" i="10"/>
  <c r="C240" i="10"/>
  <c r="D238" i="10"/>
  <c r="D237" i="10"/>
  <c r="D236" i="10"/>
  <c r="D235" i="10"/>
  <c r="C252" i="10"/>
  <c r="D250" i="10"/>
  <c r="D249" i="10"/>
  <c r="D248" i="10"/>
  <c r="D247" i="10"/>
  <c r="C264" i="10"/>
  <c r="D262" i="10"/>
  <c r="D261" i="10"/>
  <c r="D260" i="10"/>
  <c r="D259" i="10"/>
  <c r="C276" i="10"/>
  <c r="D274" i="10"/>
  <c r="D273" i="10"/>
  <c r="D272" i="10"/>
  <c r="D271" i="10"/>
  <c r="C288" i="10"/>
  <c r="D286" i="10"/>
  <c r="D285" i="10"/>
  <c r="D284" i="10"/>
  <c r="D283" i="10"/>
  <c r="C300" i="10"/>
  <c r="D298" i="10"/>
  <c r="D297" i="10"/>
  <c r="D296" i="10"/>
  <c r="C312" i="10"/>
  <c r="D311" i="10"/>
  <c r="D310" i="10"/>
  <c r="D309" i="10"/>
  <c r="D308" i="10"/>
  <c r="D307" i="10"/>
  <c r="D306" i="10"/>
  <c r="C324" i="10"/>
  <c r="D323" i="10"/>
  <c r="D322" i="10"/>
  <c r="D321" i="10"/>
  <c r="D320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52" i="10"/>
  <c r="D280" i="10"/>
  <c r="D180" i="10"/>
  <c r="D270" i="10"/>
  <c r="D263" i="10"/>
  <c r="D148" i="10"/>
  <c r="D257" i="10"/>
  <c r="D149" i="10"/>
  <c r="D216" i="10"/>
  <c r="D79" i="1"/>
  <c r="D47" i="1"/>
  <c r="D15" i="1"/>
  <c r="D64" i="1"/>
  <c r="D32" i="1"/>
  <c r="D29" i="12"/>
  <c r="D100" i="12"/>
  <c r="D76" i="12"/>
  <c r="D75" i="1"/>
  <c r="D43" i="1"/>
  <c r="D92" i="1"/>
  <c r="D60" i="1"/>
  <c r="D60" i="12"/>
  <c r="D264" i="10"/>
  <c r="D17" i="10"/>
  <c r="D252" i="10"/>
  <c r="D29" i="10"/>
  <c r="D132" i="10"/>
  <c r="D292" i="10"/>
  <c r="D239" i="10"/>
  <c r="D125" i="10"/>
  <c r="D77" i="1"/>
  <c r="D45" i="1"/>
  <c r="D94" i="1"/>
  <c r="D62" i="1"/>
  <c r="D30" i="1"/>
  <c r="D64" i="12"/>
  <c r="D11" i="10"/>
  <c r="D295" i="10"/>
  <c r="D24" i="10"/>
  <c r="D35" i="10"/>
  <c r="D112" i="10"/>
  <c r="D107" i="10"/>
  <c r="D18" i="12"/>
  <c r="D41" i="1"/>
  <c r="D90" i="1"/>
  <c r="D26" i="1"/>
  <c r="D96" i="12"/>
  <c r="D24" i="1"/>
  <c r="D299" i="10"/>
  <c r="D16" i="10"/>
  <c r="D221" i="10"/>
  <c r="D60" i="10"/>
  <c r="D319" i="10"/>
  <c r="D65" i="10"/>
  <c r="D84" i="10"/>
  <c r="D7" i="12"/>
  <c r="D28" i="1"/>
  <c r="D108" i="12"/>
  <c r="D143" i="10"/>
  <c r="D73" i="1"/>
  <c r="D58" i="1"/>
  <c r="D53" i="12"/>
  <c r="D317" i="10"/>
  <c r="D56" i="1"/>
  <c r="D108" i="10"/>
  <c r="D208" i="10"/>
  <c r="D71" i="10"/>
  <c r="D161" i="10"/>
  <c r="D71" i="1"/>
  <c r="D124" i="10"/>
  <c r="D191" i="10"/>
  <c r="D11" i="16"/>
  <c r="D36" i="10"/>
  <c r="D287" i="10"/>
  <c r="D316" i="10"/>
  <c r="D150" i="10"/>
  <c r="D5" i="12"/>
  <c r="D69" i="1"/>
  <c r="D37" i="1"/>
  <c r="D86" i="1"/>
  <c r="D54" i="1"/>
  <c r="D22" i="1"/>
  <c r="D36" i="12"/>
  <c r="D103" i="12"/>
  <c r="D220" i="10"/>
  <c r="D78" i="1"/>
  <c r="D16" i="12"/>
  <c r="D269" i="10"/>
  <c r="D240" i="10"/>
  <c r="D74" i="1"/>
  <c r="D88" i="12"/>
  <c r="D87" i="1"/>
  <c r="D80" i="12"/>
  <c r="D186" i="10"/>
  <c r="D28" i="12"/>
  <c r="D39" i="1"/>
  <c r="D203" i="10"/>
  <c r="D59" i="10"/>
  <c r="D12" i="10"/>
  <c r="D155" i="10"/>
  <c r="D131" i="10"/>
  <c r="D52" i="10"/>
  <c r="D197" i="10"/>
  <c r="D17" i="12"/>
  <c r="D67" i="1"/>
  <c r="D35" i="1"/>
  <c r="D84" i="1"/>
  <c r="D52" i="1"/>
  <c r="D20" i="1"/>
  <c r="D65" i="12"/>
  <c r="D48" i="12"/>
  <c r="D47" i="10"/>
  <c r="D29" i="1"/>
  <c r="D245" i="10"/>
  <c r="D25" i="1"/>
  <c r="D77" i="10"/>
  <c r="D40" i="1"/>
  <c r="D83" i="1"/>
  <c r="D43" i="12"/>
  <c r="D136" i="10"/>
  <c r="D40" i="10"/>
  <c r="D215" i="10"/>
  <c r="D228" i="10"/>
  <c r="D244" i="10"/>
  <c r="D6" i="10"/>
  <c r="D304" i="10"/>
  <c r="D256" i="10"/>
  <c r="D4" i="12"/>
  <c r="D65" i="1"/>
  <c r="D33" i="1"/>
  <c r="D82" i="1"/>
  <c r="D50" i="1"/>
  <c r="D18" i="1"/>
  <c r="D79" i="12"/>
  <c r="D30" i="12"/>
  <c r="D31" i="1"/>
  <c r="D78" i="12"/>
  <c r="D234" i="10"/>
  <c r="D23" i="10"/>
  <c r="D268" i="10"/>
  <c r="D57" i="1"/>
  <c r="D66" i="12"/>
  <c r="D83" i="10"/>
  <c r="D282" i="10"/>
  <c r="D23" i="1"/>
  <c r="D51" i="1"/>
  <c r="D68" i="1"/>
  <c r="D66" i="1"/>
  <c r="D84" i="12"/>
  <c r="D4" i="10"/>
  <c r="D151" i="10"/>
  <c r="D258" i="10"/>
  <c r="D72" i="10"/>
  <c r="D196" i="10"/>
  <c r="D120" i="10"/>
  <c r="D156" i="10"/>
  <c r="D113" i="10"/>
  <c r="D12" i="12"/>
  <c r="D63" i="1"/>
  <c r="D80" i="1"/>
  <c r="D48" i="1"/>
  <c r="D16" i="1"/>
  <c r="D42" i="12"/>
  <c r="D144" i="10"/>
  <c r="D61" i="1"/>
  <c r="D72" i="12"/>
  <c r="D324" i="10"/>
  <c r="D119" i="10"/>
  <c r="D42" i="1"/>
  <c r="D276" i="10"/>
  <c r="D76" i="10"/>
  <c r="D204" i="10"/>
  <c r="D93" i="1"/>
  <c r="D46" i="1"/>
  <c r="D54" i="12"/>
  <c r="D28" i="10"/>
  <c r="D281" i="10"/>
  <c r="D5" i="10"/>
  <c r="D55" i="1"/>
  <c r="D41" i="12"/>
  <c r="D88" i="1"/>
  <c r="D173" i="10"/>
  <c r="D232" i="10"/>
  <c r="D53" i="10"/>
  <c r="D137" i="10"/>
  <c r="D300" i="10"/>
  <c r="D96" i="10"/>
  <c r="D179" i="10"/>
  <c r="D184" i="10"/>
  <c r="D91" i="1"/>
  <c r="D59" i="1"/>
  <c r="D27" i="1"/>
  <c r="D76" i="1"/>
  <c r="D44" i="1"/>
  <c r="D24" i="12"/>
  <c r="D77" i="12"/>
  <c r="D102" i="12"/>
  <c r="D89" i="1"/>
  <c r="D19" i="1"/>
  <c r="D36" i="1"/>
  <c r="D34" i="1"/>
  <c r="D31" i="12"/>
  <c r="D294" i="10"/>
  <c r="D6" i="12"/>
  <c r="D160" i="10"/>
  <c r="D172" i="10"/>
  <c r="D72" i="1"/>
  <c r="D233" i="10"/>
  <c r="D312" i="10"/>
  <c r="D288" i="10"/>
  <c r="D275" i="10"/>
  <c r="D209" i="10"/>
  <c r="D100" i="10"/>
  <c r="D101" i="10"/>
  <c r="D227" i="10"/>
  <c r="D85" i="1"/>
  <c r="D53" i="1"/>
  <c r="D21" i="1"/>
  <c r="D70" i="1"/>
  <c r="D38" i="1"/>
  <c r="D89" i="12"/>
  <c r="D55" i="12"/>
  <c r="D246" i="10"/>
  <c r="D251" i="10"/>
  <c r="D89" i="10"/>
  <c r="D293" i="10"/>
  <c r="D95" i="10"/>
  <c r="D168" i="10"/>
  <c r="D11" i="15"/>
  <c r="D167" i="10"/>
  <c r="D185" i="10"/>
  <c r="D318" i="10"/>
  <c r="D88" i="10"/>
  <c r="D48" i="10"/>
  <c r="D305" i="10"/>
  <c r="D64" i="10"/>
  <c r="D192" i="10"/>
  <c r="D81" i="1"/>
  <c r="D49" i="1"/>
  <c r="D17" i="1"/>
  <c r="D101" i="12"/>
  <c r="D40" i="12"/>
  <c r="D5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<sst xmlns="http://schemas.openxmlformats.org/spreadsheetml/2006/main" count="1023" uniqueCount="183">
  <si>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</si>
  <si>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</si>
  <si>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</si>
  <si>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</si>
  <si>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</si>
  <si>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</si>
  <si>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</si>
  <si>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</si>
  <si>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</si>
  <si>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</si>
  <si>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</si>
  <si>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</si>
  <si>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</si>
  <si>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</si>
  <si>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</si>
  <si>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</si>
  <si>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</si>
  <si>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</si>
  <si>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</si>
  <si>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</si>
  <si>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</si>
  <si>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</si>
  <si>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</si>
  <si>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</si>
  <si>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</si>
  <si>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</si>
  <si>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</si>
  <si>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</si>
  <si>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</si>
  <si>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</si>
  <si>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</si>
  <si>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</si>
  <si>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</si>
  <si>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</si>
  <si>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</si>
  <si>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</si>
  <si>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</si>
  <si>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</si>
  <si>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</si>
  <si>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</si>
  <si>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</si>
  <si>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</si>
  <si>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</si>
  <si>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</si>
  <si>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</si>
  <si>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</si>
  <si>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</si>
  <si>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</si>
  <si>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</si>
  <si>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</si>
  <si>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</si>
  <si>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</si>
  <si>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</si>
  <si>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</si>
  <si>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</si>
  <si>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</si>
  <si>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</si>
  <si>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</si>
  <si>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</si>
  <si>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</si>
  <si>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</si>
  <si>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</si>
  <si>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</si>
  <si>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</si>
  <si>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</si>
  <si>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A12</t>
  </si>
  <si>
    <t xml:space="preserve"> </t>
  </si>
  <si>
    <t>Mefail Slejmani</t>
  </si>
  <si>
    <t>Meeting - Expert 2</t>
  </si>
  <si>
    <t>Meeting - Expert 1</t>
  </si>
  <si>
    <t>Meeting - Chef du projet</t>
  </si>
  <si>
    <t xml:space="preserve">Analyse - Recherche </t>
  </si>
  <si>
    <t>02.05.2025 au 02.06.2025</t>
  </si>
  <si>
    <t xml:space="preserve"> TPI</t>
  </si>
  <si>
    <t>Implémentation - Connexion réseau IOT</t>
  </si>
  <si>
    <t>Implémentation - Interface web</t>
  </si>
  <si>
    <t>Implémentation - Stockage</t>
  </si>
  <si>
    <t>Implémentation - Mise en place des branches ESP32</t>
  </si>
  <si>
    <t>Matin</t>
  </si>
  <si>
    <t>Après-midi</t>
  </si>
  <si>
    <t xml:space="preserve">Analyse - Mise en place de la méthode de la gestion du projet </t>
  </si>
  <si>
    <t>Analyse ‑ Composants</t>
  </si>
  <si>
    <t xml:space="preserve">Implémentation - Commentaires code </t>
  </si>
  <si>
    <t>Discussion sur le déroulement du TPI et signature du cahier d'échange</t>
  </si>
  <si>
    <t>Structuration de la phase de planification initiale</t>
  </si>
  <si>
    <t>Analyse ‑ Tests</t>
  </si>
  <si>
    <t>Rédaction du journal de travail sur mes réalisations</t>
  </si>
  <si>
    <t>Discussion avec l'expert 2</t>
  </si>
  <si>
    <t>Implémentation - GIT</t>
  </si>
  <si>
    <t>Mise en œuvre des stratégies de test pour ce projet</t>
  </si>
  <si>
    <t>Mise en place du répertoire git pour faciliter la communication avec le chef de projet</t>
  </si>
  <si>
    <t>Étude de la manière de démarrer le projet</t>
  </si>
  <si>
    <t>Connection de l'ESP32 au réseau Wifi local</t>
  </si>
  <si>
    <t xml:space="preserve">Finalisation de la connexion entre l'ESP32 sur le réseau local </t>
  </si>
  <si>
    <t>Finalisation du chapitre "Analyse Conception" et "INTRODUCTION"</t>
  </si>
  <si>
    <t xml:space="preserve">Absences - Imprévus </t>
  </si>
  <si>
    <t>Analyse ‑ Cahier des charges</t>
  </si>
  <si>
    <t>Compréhension du cahier des charges</t>
  </si>
  <si>
    <t>Compréhension ducahier des charges</t>
  </si>
  <si>
    <t>Mise en place du serveur web HTTP après la connexion au réseau Wifi</t>
  </si>
  <si>
    <t>Liaisons entre le ESP32 et les éléments</t>
  </si>
  <si>
    <t>Recherche de comment connecter le ESP32 aux éléments</t>
  </si>
  <si>
    <t xml:space="preserve">Discussions sur le projet </t>
  </si>
  <si>
    <t>Implémentation - ESP32</t>
  </si>
  <si>
    <t>Créer un code pour contrôler les éléments du projet en utilisant l'ESP32 et les tester s'ils sont opérationnels</t>
  </si>
  <si>
    <t>Recherche de comment avoir un contrôle d'arrosage depuis un serveur web</t>
  </si>
  <si>
    <t>Élaboration du code pour contrôler l'ESP32 à partir d'un serveur web</t>
  </si>
  <si>
    <t>Séquence 27</t>
  </si>
  <si>
    <t>lundi, 2 juin 2025</t>
  </si>
  <si>
    <t>mercredi, 28 mai 2025</t>
  </si>
  <si>
    <t>lundi, 26 mai 2025</t>
  </si>
  <si>
    <t>vendredi, 23 mai 2025</t>
  </si>
  <si>
    <t>jeudi, 22 mai 2025</t>
  </si>
  <si>
    <t>mercredi, 21 mai 2025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</si>
  <si>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</si>
  <si>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</si>
  <si>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</si>
  <si>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</si>
  <si>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</si>
  <si>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</si>
  <si>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jeudi, 8 mai 2025</t>
  </si>
  <si>
    <t>mercredi, 7 mai 2025</t>
  </si>
  <si>
    <t>lundi, 5 mai 2025</t>
  </si>
  <si>
    <t>vendredi, 2 mai 2025</t>
  </si>
  <si>
    <t>Recherche de comment contrôler les valeurs du capteur</t>
  </si>
  <si>
    <t xml:space="preserve">Discussion avec le chef du projet </t>
  </si>
  <si>
    <t>Mise en œuvre de l'activation de la pompe d'eau après avoir cliqué sur le bouton depuis le serveur web.</t>
  </si>
  <si>
    <t>Mise en œuvre de l'activation automatique de la pompe d'eau après avoir dépassé la limite d'humidité ajustable avec un temps également.</t>
  </si>
  <si>
    <t>Recherche de comment afficher l'état des plantes directement depuis l'interface web</t>
  </si>
  <si>
    <t>Réalisation du design du site et affichage de l'état des plantes avec les boutons</t>
  </si>
  <si>
    <t>Finalisation avec une supervision totale depuis le serveur web sur les fonctionnalités du projet</t>
  </si>
  <si>
    <t>Réalisation d'un fichier JSON ou SQLite, incluant la création des fichiers ou des tables nécessaires</t>
  </si>
  <si>
    <t>Recherche sur la sauvegarde de l'historique des plantes dans un fichier JSON ou  SQLite, incluant la création des fichiers ou des tables nécessaires</t>
  </si>
  <si>
    <t>Finalisation des étapes de sauvegarde des logs avec (date, durées, seuils)</t>
  </si>
  <si>
    <t>implémentation du fichier Jason ou SQLite dans l'interface web</t>
  </si>
  <si>
    <t>Finalisation de l'implémentation du fichier Jason ou SQLite avec l'interface web dans le ESP32</t>
  </si>
  <si>
    <t>Finalisation de la partie du chapitre "Réalisation".</t>
  </si>
  <si>
    <t>Vérification des incohérences dans le code</t>
  </si>
  <si>
    <t>Optimiser le code pour qu'il soit le plus léger possible</t>
  </si>
  <si>
    <t xml:space="preserve">Finalisation de l'infrastructre </t>
  </si>
  <si>
    <t>Finalisation du chapitre "CONCLUSIONS"</t>
  </si>
  <si>
    <t>Finalisation du chapitre "ANNEXES"</t>
  </si>
  <si>
    <t>Finalisation du rapport</t>
  </si>
  <si>
    <t>Finalisation du journal de travail et vérification des incohérences</t>
  </si>
  <si>
    <t>89h 55 min</t>
  </si>
  <si>
    <t>Identifier la méthode la plus adaptée à ce projet, parmi des approches telles que le Cycle en V, la Méthode des 6 étapes ou Scrum.</t>
  </si>
  <si>
    <t>Effectuer des recherches sur les interfaces web afin de comprendre le fonctionnement des composants mis à disposition pour ce projet, notamment leur rôle, leur alimentation et leur utilité dans le système</t>
  </si>
  <si>
    <t>Mise à jour de la planification initiale conformément aux suggestions des experts</t>
  </si>
  <si>
    <t>Mise en place d’un répertoire Git pour le partage de fichiers avec mon chef de projet</t>
  </si>
  <si>
    <t>Controler que les commentaires sont mis dans tout le code</t>
  </si>
  <si>
    <t>Redaction du journal de travail sur le Chapitre "Introduction"</t>
  </si>
  <si>
    <t>Observer et manipuler le matériel fourni pour ce projet afin d’identifier les différentes pièces disponibles.</t>
  </si>
  <si>
    <t>Redaction d'une partie du chapitre "Analyse Conception"</t>
  </si>
  <si>
    <t>Redaction du chapitre "Analyse Conception" et "INTRODUCTION"</t>
  </si>
  <si>
    <t>Redaction d'une petite partie du chapitre "Réalisation".</t>
  </si>
  <si>
    <t>Redaction de la partie du chapitre "Réalisation".</t>
  </si>
  <si>
    <t>Redaction du chapitre "CONCLUSIONS"</t>
  </si>
  <si>
    <t>Redaction du chapitre "ANNEXES"</t>
  </si>
  <si>
    <t xml:space="preserve">Mise à jour de la planification initiale conformément aux suggestions des experts grace l'aide du chef de projet </t>
  </si>
  <si>
    <t>Définir les besoins pour commencer le chapitre 'Analyse préliminaire' du rapport</t>
  </si>
  <si>
    <t>initialisation du rapport sur la partie du chapitre "Analyse préliminaire"</t>
  </si>
  <si>
    <t>Discussion avec le chef de projet sur la planification initiale, répertoire Git</t>
  </si>
  <si>
    <t>Après avoir évalué les trois méthodes, j'ai choisi d'adopter celle des 6 pas afin d'apporter davantage de structure à mon approche</t>
  </si>
  <si>
    <t>Discussion avec le chef de projet sur le déroulement de TPI</t>
  </si>
  <si>
    <t>J'ai inclus des chapitres dans la documentation et j'ai effectué les chapitres 'Méthodologie du projet' et 'Planification initiale'.</t>
  </si>
  <si>
    <t>En manipulant et en observant, j'ai repéré sur quels composants je suis en train de travailler, par exemple : capteur d'humidité 'hw-103 v0.1'</t>
  </si>
  <si>
    <t>J'ai recherché sur comment je pourrais réaliser ce projet</t>
  </si>
  <si>
    <t>https://esp32io.com/tutorials/esp32-automatic-irrigation-system</t>
  </si>
  <si>
    <t>Finalisation des chapitres "Introduction" et "Objectifs"</t>
  </si>
  <si>
    <t>Correction de tous les points soulevés par les experts et envoi de la réponse par mail</t>
  </si>
  <si>
    <t>J'ai ajouté et fini le chapitre SWOT, car je suis convaincu que la compréhension des points forts et des points faibles est cruciale pour clôturer de la meilleure façon le projet.</t>
  </si>
  <si>
    <t xml:space="preserve">J'ai installe le driver pour que l'ESP32 puisse interfagir avec l'ordinateur Windows 10 et j'ai mise en place la librerie pour developper le code sur Arduino </t>
  </si>
  <si>
    <t>https://www.instructables.com/ESP32-With-Integrated-OLED-WEMOSLolin-Getting-Star/ https://learn.sparkfun.com/tutorials/how-to-install-ch340-drivers/all https://raw.githubusercontent.com/espressif/arduino-esp32/gh-pages/package_esp32_index.json</t>
  </si>
  <si>
    <t>Discussion sur comment je dois rajouter les plantes sur le serveur Web et aussi sur comment je dois faire mes commits sur GIT</t>
  </si>
  <si>
    <t>J'ai complété les chapitres "Concept" et stratégie de test</t>
  </si>
  <si>
    <t>25h 20 min</t>
  </si>
  <si>
    <t>- 64h 35 min</t>
  </si>
  <si>
    <t>https://www.youtube.com/watch?v=hr_6_xS2SZ4 https://www.youtube.com/watch?v=z2XOrZTO6bg</t>
  </si>
  <si>
    <t xml:space="preserve">J'ai recherche de comment brancher les composants pour realiser ce projet </t>
  </si>
  <si>
    <t>J'ai branché le capteur d'humidité sur le ESP32 et je vais voir s'il fonctionne</t>
  </si>
  <si>
    <t>J’ai constaté un dysfonctionnement dans l’affichage de l’humidité : après avoir raccordé le capteur à l’ESP32, la valeur restait systématiquement à 0 %. Les tentatives d’humidification directe n’ont produit aucun changement. J’ai donc testé plusieurs codes trouvés en ligne. Ce n’est qu’en immergeant le capteur dans une bouteille d’eau que la mesure d’humidité a finalement varié.</t>
  </si>
  <si>
    <t>https://www.electronicwings.com/esp32/soil-moisture-sensor-interfacing-with-esp32 https://www.youtube.com/watch?v=C3NGTrF3IbI</t>
  </si>
  <si>
    <t>J’ai commencé la rédaction du chapitre  «Réalisation».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</si>
</sst>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25" xfId="0" applyFont="1" applyFill="1" applyBorder="1"/>
    <xf numFmtId="0" fontId="2" fillId="19" borderId="79" xfId="0" applyFont="1" applyFill="1" applyBorder="1"/>
    <xf numFmtId="0" fontId="2" fillId="19" borderId="24" xfId="0" applyFont="1" applyFill="1" applyBorder="1"/>
    <xf numFmtId="0" fontId="2" fillId="19" borderId="57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76" xfId="0" applyFont="1" applyFill="1" applyBorder="1"/>
    <xf numFmtId="0" fontId="2" fillId="21" borderId="1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2" fillId="21" borderId="54" xfId="0" applyFont="1" applyFill="1" applyBorder="1"/>
    <xf numFmtId="0" fontId="0" fillId="0" borderId="84" xfId="0" applyFont="1" applyBorder="1" applyAlignment="1" applyProtection="1">
      <alignment horizontal="left" vertical="top" wrapText="1"/>
      <protection locked="0"/>
    </xf>
    <xf numFmtId="0" fontId="0" fillId="0" borderId="83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99-41B8-9A90-77E5ABE081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8h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99-41B8-9A90-77E5ABE081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99-41B8-9A90-77E5ABE081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99-41B8-9A90-77E5ABE081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99-41B8-9A90-77E5ABE081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838-4242-AFB8-05FD5BF63F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99-41B8-9A90-77E5ABE081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99-41B8-9A90-77E5ABE081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99-41B8-9A90-77E5ABE081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12h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99-41B8-9A90-77E5ABE081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99-41B8-9A90-77E5ABE081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99-41B8-9A90-77E5ABE081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99-41B8-9A90-77E5ABE081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99-41B8-9A90-77E5ABE0815C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‑ Cahier des charges</c:v>
              </c:pt>
              <c:pt idx="2">
                <c:v>Analyse - Mise en place de la méthode de la gestion du projet </c:v>
              </c:pt>
              <c:pt idx="3">
                <c:v>Analyse - Planification initiale</c:v>
              </c:pt>
              <c:pt idx="4">
                <c:v>Analyse - Recherche </c:v>
              </c:pt>
              <c:pt idx="5">
                <c:v>Analyse ‑ Composants</c:v>
              </c:pt>
              <c:pt idx="6">
                <c:v>Analyse ‑ Tests</c:v>
              </c:pt>
              <c:pt idx="7">
                <c:v>Doc - Journal de travail</c:v>
              </c:pt>
              <c:pt idx="8">
                <c:v>Doc - Rapport</c:v>
              </c:pt>
              <c:pt idx="9">
                <c:v>Implémentation - Commentaires code </c:v>
              </c:pt>
              <c:pt idx="10">
                <c:v>Implémentation - Connexion réseau IOT</c:v>
              </c:pt>
              <c:pt idx="11">
                <c:v>Implémentation - ESP32</c:v>
              </c:pt>
              <c:pt idx="12">
                <c:v>Implémentation - GIT</c:v>
              </c:pt>
              <c:pt idx="13">
                <c:v>Implémentation - Interface web</c:v>
              </c:pt>
              <c:pt idx="14">
                <c:v>Implémentation - Mise en place des branches ESP32</c:v>
              </c:pt>
              <c:pt idx="15">
                <c:v>Implémentation - Stockage</c:v>
              </c:pt>
              <c:pt idx="16">
                <c:v>Meeting - Chef du projet</c:v>
              </c:pt>
              <c:pt idx="17">
                <c:v>Meeting - Expert 1</c:v>
              </c:pt>
              <c:pt idx="18">
                <c:v>Meeting - Expert 2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10</c:v>
              </c:pt>
              <c:pt idx="2">
                <c:v>5</c:v>
              </c:pt>
              <c:pt idx="3">
                <c:v>67</c:v>
              </c:pt>
              <c:pt idx="4">
                <c:v>97</c:v>
              </c:pt>
              <c:pt idx="5">
                <c:v>10</c:v>
              </c:pt>
              <c:pt idx="6">
                <c:v>30</c:v>
              </c:pt>
              <c:pt idx="7">
                <c:v>33</c:v>
              </c:pt>
              <c:pt idx="8">
                <c:v>312</c:v>
              </c:pt>
              <c:pt idx="9">
                <c:v>10</c:v>
              </c:pt>
              <c:pt idx="10">
                <c:v>23</c:v>
              </c:pt>
              <c:pt idx="11">
                <c:v>133</c:v>
              </c:pt>
              <c:pt idx="12">
                <c:v>7</c:v>
              </c:pt>
              <c:pt idx="13">
                <c:v>154</c:v>
              </c:pt>
              <c:pt idx="14">
                <c:v>11</c:v>
              </c:pt>
              <c:pt idx="15">
                <c:v>116</c:v>
              </c:pt>
              <c:pt idx="16">
                <c:v>49</c:v>
              </c:pt>
              <c:pt idx="17">
                <c:v>6</c:v>
              </c:pt>
              <c:pt idx="18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34E-4AE7-AE74-F3DF8DBC47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8h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0F8-454D-86E9-FB6326A8C5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0F8-454D-86E9-FB6326A8C5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34E-4AE7-AE74-F3DF8DBC47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8h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34E-4AE7-AE74-F3DF8DBC47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0F8-454D-86E9-FB6326A8C5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34E-4AE7-AE74-F3DF8DBC47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E99-41B8-9A90-77E5ABE0815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9"/>
              <c:pt idx="0">
                <c:v>0</c:v>
              </c:pt>
              <c:pt idx="1">
                <c:v>15</c:v>
              </c:pt>
              <c:pt idx="2">
                <c:v>10</c:v>
              </c:pt>
              <c:pt idx="3">
                <c:v>100</c:v>
              </c:pt>
              <c:pt idx="4">
                <c:v>9</c:v>
              </c:pt>
              <c:pt idx="5">
                <c:v>18</c:v>
              </c:pt>
              <c:pt idx="6">
                <c:v>0</c:v>
              </c:pt>
              <c:pt idx="7">
                <c:v>4</c:v>
              </c:pt>
              <c:pt idx="8">
                <c:v>98</c:v>
              </c:pt>
              <c:pt idx="9">
                <c:v>0</c:v>
              </c:pt>
              <c:pt idx="10">
                <c:v>0</c:v>
              </c:pt>
              <c:pt idx="11">
                <c:v>24</c:v>
              </c:pt>
              <c:pt idx="12">
                <c:v>8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12</c:v>
              </c:pt>
              <c:pt idx="17">
                <c:v>6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14h 5 min</a:t>
                    </a:r>
                  </a:p>
                  <a:p>
                    <a:r>
                      <a:rPr lang="en-US"/>
                      <a:t> 16.4%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28h 45 min</a:t>
                    </a:r>
                  </a:p>
                  <a:p>
                    <a:r>
                      <a:rPr lang="en-US"/>
                      <a:t> 33.5%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37h 50 min</a:t>
                    </a:r>
                  </a:p>
                  <a:p>
                    <a:r>
                      <a:rPr lang="en-US"/>
                      <a:t> 44.1%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5.9%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169</c:v>
              </c:pt>
              <c:pt idx="2">
                <c:v>345</c:v>
              </c:pt>
              <c:pt idx="3">
                <c:v>454</c:v>
              </c:pt>
              <c:pt idx="4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9h 55 min</a:t>
                    </a:r>
                  </a:p>
                  <a:p>
                    <a:r>
                      <a:rPr lang="en-US"/>
                      <a:t> 43.9%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8h 30 min</a:t>
                    </a:r>
                  </a:p>
                  <a:p>
                    <a:r>
                      <a:rPr lang="en-US"/>
                      <a:t> 37.6%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  <a:p>
                    <a:r>
                      <a:rPr lang="en-US"/>
                      <a:t> 11.8%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6.6%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119</c:v>
              </c:pt>
              <c:pt idx="2">
                <c:v>102</c:v>
              </c:pt>
              <c:pt idx="3">
                <c:v>32</c:v>
              </c:pt>
              <c:pt idx="4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9525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49289" y="77188"/>
          <a:ext cx="2436715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www.youtube.com/watch?v=hr_6_xS2SZ4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s://www.instructables.com/ESP32-With-Integrated-OLED-WEMOSLolin-Getting-Star/" TargetMode="External"/><Relationship Id="rId1" Type="http://schemas.openxmlformats.org/officeDocument/2006/relationships/hyperlink" Target="https://esp32io.com/tutorials/esp32-automatic-irrigation-system" TargetMode="External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7.xml"/><Relationship Id="rId4" Type="http://schemas.openxmlformats.org/officeDocument/2006/relationships/hyperlink" Target="https://www.electronicwings.com/esp32/soil-moisture-sensor-interfacing-with-esp32" TargetMode="Externa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16" zoomScale="55" zoomScaleNormal="55" workbookViewId="0">
      <selection activeCell="AG41" sqref="AG41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8" t="s">
        <v>0</v>
      </c>
      <c r="C45" s="208"/>
      <c r="D45" s="208"/>
      <c r="E45" s="139" t="s">
        <v>144</v>
      </c>
      <c r="G45" s="209" t="s">
        <v>1</v>
      </c>
      <c r="H45" s="209"/>
      <c r="I45" s="209"/>
      <c r="J45" s="140" t="s">
        <v>175</v>
      </c>
      <c r="L45" s="210" t="s">
        <v>2</v>
      </c>
      <c r="M45" s="210"/>
      <c r="N45" s="211" t="s">
        <v>176</v>
      </c>
      <c r="O45" s="212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M99"/>
  <sheetViews>
    <sheetView showGridLines="0" topLeftCell="A61" zoomScale="70" zoomScaleNormal="70" zoomScaleSheetLayoutView="43" workbookViewId="0">
      <selection activeCell="F94" sqref="F94:BJL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384" width="11.42578125" style="2"/>
  </cols>
  <sheetData>
    <row r="1" spans="1:1625" ht="35.1" customHeight="1" x14ac:dyDescent="0.25">
      <c r="B1" s="141"/>
      <c r="C1" s="217" t="s">
        <v>3</v>
      </c>
      <c r="D1" s="217"/>
      <c r="E1" s="21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</row>
    <row r="2" spans="1:1625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</row>
    <row r="3" spans="1:1625" ht="30" customHeight="1" x14ac:dyDescent="0.25">
      <c r="B3" s="51"/>
      <c r="C3" s="5" t="s">
        <v>4</v>
      </c>
      <c r="D3" s="113"/>
      <c r="E3" s="6" t="s">
        <v>73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</row>
    <row r="4" spans="1:1625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</row>
    <row r="5" spans="1:1625" ht="30" customHeight="1" x14ac:dyDescent="0.25">
      <c r="B5" s="51"/>
      <c r="C5" s="9" t="s">
        <v>6</v>
      </c>
      <c r="D5" s="114"/>
      <c r="E5" s="10" t="s">
        <v>65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</row>
    <row r="6" spans="1:1625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</row>
    <row r="7" spans="1:1625" ht="20.100000000000001" customHeight="1" thickBot="1" x14ac:dyDescent="0.3">
      <c r="B7" s="51"/>
      <c r="C7" s="218"/>
      <c r="D7" s="218"/>
      <c r="E7" s="21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</row>
    <row r="8" spans="1:1625" ht="30" customHeight="1" x14ac:dyDescent="0.25">
      <c r="B8" s="51"/>
      <c r="C8" s="5" t="s">
        <v>9</v>
      </c>
      <c r="D8" s="113"/>
      <c r="E8" s="6" t="s">
        <v>72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</row>
    <row r="9" spans="1:1625" ht="30" customHeight="1" x14ac:dyDescent="0.25">
      <c r="B9" s="51"/>
      <c r="C9" s="9" t="s">
        <v>10</v>
      </c>
      <c r="D9" s="114"/>
      <c r="E9" s="10" t="s">
        <v>11</v>
      </c>
      <c r="F9" s="11"/>
      <c r="G9" s="215" t="str">
        <f>E96</f>
        <v>89h 55 min</v>
      </c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94"/>
      <c r="W9" s="216" t="s">
        <v>12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5" t="str">
        <f>E98</f>
        <v>25h 20 min</v>
      </c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</row>
    <row r="10" spans="1:1625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75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/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/>
      <c r="BEQ10" s="213"/>
      <c r="BER10" s="213"/>
      <c r="BES10" s="213"/>
      <c r="BET10" s="213"/>
      <c r="BEU10" s="213"/>
      <c r="BEV10" s="213"/>
      <c r="BEW10" s="213"/>
      <c r="BEX10" s="213"/>
      <c r="BEY10" s="213"/>
      <c r="BEZ10" s="213"/>
      <c r="BFA10" s="213"/>
      <c r="BFB10" s="213"/>
      <c r="BFC10" s="213"/>
      <c r="BFD10" s="213"/>
      <c r="BFE10" s="213"/>
      <c r="BFF10" s="213"/>
      <c r="BFG10" s="213"/>
      <c r="BFH10" s="213"/>
      <c r="BFI10" s="213"/>
      <c r="BFJ10" s="213"/>
      <c r="BFK10" s="213"/>
      <c r="BFL10" s="213"/>
      <c r="BFM10" s="213"/>
      <c r="BFN10" s="213"/>
      <c r="BFO10" s="213"/>
      <c r="BFP10" s="213"/>
      <c r="BFQ10" s="213"/>
      <c r="BFR10" s="213"/>
      <c r="BFS10" s="213"/>
      <c r="BFT10" s="213"/>
      <c r="BFU10" s="213"/>
      <c r="BFV10" s="213"/>
      <c r="BFW10" s="213"/>
      <c r="BFX10" s="213"/>
      <c r="BFY10" s="213"/>
      <c r="BFZ10" s="213"/>
      <c r="BGA10" s="213"/>
      <c r="BGB10" s="213"/>
      <c r="BGC10" s="213"/>
      <c r="BGD10" s="213"/>
      <c r="BGE10" s="213"/>
      <c r="BGF10" s="213"/>
      <c r="BGG10" s="213"/>
      <c r="BGH10" s="213"/>
      <c r="BGI10" s="213"/>
      <c r="BGJ10" s="213"/>
      <c r="BGK10" s="213"/>
      <c r="BGL10" s="213"/>
      <c r="BGM10" s="213"/>
      <c r="BGN10" s="213"/>
      <c r="BGO10" s="213"/>
      <c r="BGP10" s="213"/>
      <c r="BGQ10" s="213"/>
      <c r="BGR10" s="213"/>
      <c r="BGS10" s="213"/>
      <c r="BGT10" s="213"/>
      <c r="BGU10" s="213"/>
      <c r="BGV10" s="213"/>
      <c r="BGW10" s="213"/>
      <c r="BGX10" s="213"/>
      <c r="BGY10" s="213"/>
      <c r="BGZ10" s="213"/>
      <c r="BHA10" s="213"/>
      <c r="BHB10" s="213"/>
      <c r="BHC10" s="213"/>
      <c r="BHD10" s="213"/>
      <c r="BHE10" s="213"/>
      <c r="BHF10" s="213"/>
      <c r="BHG10" s="213"/>
      <c r="BHH10" s="213"/>
      <c r="BHI10" s="213"/>
      <c r="BHJ10" s="213"/>
      <c r="BHK10" s="213"/>
      <c r="BHL10" s="213"/>
      <c r="BHM10" s="213"/>
      <c r="BHN10" s="213"/>
      <c r="BHO10" s="213"/>
      <c r="BHP10" s="213"/>
      <c r="BHQ10" s="213"/>
      <c r="BHR10" s="213"/>
      <c r="BHS10" s="213"/>
      <c r="BHT10" s="213"/>
      <c r="BHU10" s="213"/>
      <c r="BHV10" s="213"/>
      <c r="BHW10" s="213"/>
      <c r="BHX10" s="213"/>
      <c r="BHY10" s="213"/>
      <c r="BHZ10" s="213"/>
      <c r="BIA10" s="213"/>
      <c r="BIB10" s="213"/>
      <c r="BIC10" s="213"/>
      <c r="BID10" s="213"/>
      <c r="BIE10" s="213"/>
      <c r="BIF10" s="213"/>
      <c r="BIG10" s="213"/>
      <c r="BIH10" s="213"/>
      <c r="BII10" s="213"/>
      <c r="BIJ10" s="213"/>
      <c r="BIK10" s="213"/>
      <c r="BIL10" s="213"/>
      <c r="BIM10" s="213"/>
      <c r="BIN10" s="213"/>
      <c r="BIO10" s="213"/>
      <c r="BIP10" s="213"/>
      <c r="BIQ10" s="213"/>
      <c r="BIR10" s="213"/>
      <c r="BIS10" s="213"/>
      <c r="BIT10" s="213"/>
      <c r="BIU10" s="213"/>
      <c r="BIV10" s="213"/>
      <c r="BIW10" s="213"/>
      <c r="BIX10" s="213"/>
      <c r="BIY10" s="213"/>
      <c r="BIZ10" s="213"/>
      <c r="BJA10" s="213"/>
      <c r="BJB10" s="213"/>
      <c r="BJC10" s="213"/>
      <c r="BJD10" s="213"/>
      <c r="BJE10" s="213"/>
      <c r="BJF10" s="213"/>
      <c r="BJG10" s="213"/>
      <c r="BJH10" s="213"/>
      <c r="BJI10" s="213"/>
      <c r="BJJ10" s="213"/>
      <c r="BJK10" s="213"/>
      <c r="BJL10" s="213"/>
      <c r="BJM10" s="213"/>
    </row>
    <row r="11" spans="1:1625" s="71" customFormat="1" ht="20.100000000000001" customHeight="1" x14ac:dyDescent="0.25">
      <c r="A11" s="146"/>
      <c r="B11" s="142"/>
      <c r="C11" s="237"/>
      <c r="D11" s="237"/>
      <c r="E11" s="237"/>
      <c r="F11" s="236" t="s">
        <v>123</v>
      </c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 t="s">
        <v>123</v>
      </c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6"/>
      <c r="DP11" s="236"/>
      <c r="DQ11" s="236"/>
      <c r="DR11" s="236"/>
      <c r="DS11" s="236"/>
      <c r="DT11" s="236"/>
      <c r="DU11" s="236"/>
      <c r="DV11" s="236" t="s">
        <v>122</v>
      </c>
      <c r="DW11" s="236"/>
      <c r="DX11" s="236"/>
      <c r="DY11" s="236"/>
      <c r="DZ11" s="236"/>
      <c r="EA11" s="236"/>
      <c r="EB11" s="236"/>
      <c r="EC11" s="236"/>
      <c r="ED11" s="236"/>
      <c r="EE11" s="236"/>
      <c r="EF11" s="236"/>
      <c r="EG11" s="236"/>
      <c r="EH11" s="236"/>
      <c r="EI11" s="236"/>
      <c r="EJ11" s="236"/>
      <c r="EK11" s="236"/>
      <c r="EL11" s="236"/>
      <c r="EM11" s="236"/>
      <c r="EN11" s="236"/>
      <c r="EO11" s="236"/>
      <c r="EP11" s="236"/>
      <c r="EQ11" s="236"/>
      <c r="ER11" s="236"/>
      <c r="ES11" s="236"/>
      <c r="ET11" s="236"/>
      <c r="EU11" s="236"/>
      <c r="EV11" s="236"/>
      <c r="EW11" s="236"/>
      <c r="EX11" s="236"/>
      <c r="EY11" s="236"/>
      <c r="EZ11" s="236"/>
      <c r="FA11" s="236"/>
      <c r="FB11" s="236"/>
      <c r="FC11" s="236"/>
      <c r="FD11" s="236"/>
      <c r="FE11" s="236"/>
      <c r="FF11" s="236"/>
      <c r="FG11" s="236"/>
      <c r="FH11" s="236"/>
      <c r="FI11" s="236"/>
      <c r="FJ11" s="236"/>
      <c r="FK11" s="236"/>
      <c r="FL11" s="236"/>
      <c r="FM11" s="236"/>
      <c r="FN11" s="236"/>
      <c r="FO11" s="236"/>
      <c r="FP11" s="236"/>
      <c r="FQ11" s="236"/>
      <c r="FR11" s="236"/>
      <c r="FS11" s="236"/>
      <c r="FT11" s="236"/>
      <c r="FU11" s="236"/>
      <c r="FV11" s="236"/>
      <c r="FW11" s="236"/>
      <c r="FX11" s="236"/>
      <c r="FY11" s="236"/>
      <c r="FZ11" s="236"/>
      <c r="GA11" s="236"/>
      <c r="GB11" s="236"/>
      <c r="GC11" s="236"/>
      <c r="GD11" s="236" t="s">
        <v>122</v>
      </c>
      <c r="GE11" s="236"/>
      <c r="GF11" s="236"/>
      <c r="GG11" s="236"/>
      <c r="GH11" s="236"/>
      <c r="GI11" s="236"/>
      <c r="GJ11" s="236"/>
      <c r="GK11" s="236"/>
      <c r="GL11" s="236"/>
      <c r="GM11" s="236"/>
      <c r="GN11" s="236"/>
      <c r="GO11" s="236"/>
      <c r="GP11" s="236"/>
      <c r="GQ11" s="236"/>
      <c r="GR11" s="236"/>
      <c r="GS11" s="236"/>
      <c r="GT11" s="236"/>
      <c r="GU11" s="236"/>
      <c r="GV11" s="236"/>
      <c r="GW11" s="236"/>
      <c r="GX11" s="236"/>
      <c r="GY11" s="236"/>
      <c r="GZ11" s="236"/>
      <c r="HA11" s="236"/>
      <c r="HB11" s="236"/>
      <c r="HC11" s="236"/>
      <c r="HD11" s="236"/>
      <c r="HE11" s="236"/>
      <c r="HF11" s="236"/>
      <c r="HG11" s="236"/>
      <c r="HH11" s="236"/>
      <c r="HI11" s="236"/>
      <c r="HJ11" s="236"/>
      <c r="HK11" s="236"/>
      <c r="HL11" s="236"/>
      <c r="HM11" s="236"/>
      <c r="HN11" s="236"/>
      <c r="HO11" s="236"/>
      <c r="HP11" s="236"/>
      <c r="HQ11" s="236"/>
      <c r="HR11" s="236"/>
      <c r="HS11" s="236"/>
      <c r="HT11" s="236"/>
      <c r="HU11" s="236"/>
      <c r="HV11" s="236"/>
      <c r="HW11" s="236"/>
      <c r="HX11" s="236"/>
      <c r="HY11" s="236"/>
      <c r="HZ11" s="236"/>
      <c r="IA11" s="236"/>
      <c r="IB11" s="236"/>
      <c r="IC11" s="236"/>
      <c r="ID11" s="236"/>
      <c r="IE11" s="236"/>
      <c r="IF11" s="236"/>
      <c r="IG11" s="236"/>
      <c r="IH11" s="236"/>
      <c r="II11" s="236"/>
      <c r="IJ11" s="236"/>
      <c r="IK11" s="236"/>
      <c r="IL11" s="236" t="s">
        <v>121</v>
      </c>
      <c r="IM11" s="236"/>
      <c r="IN11" s="236"/>
      <c r="IO11" s="236"/>
      <c r="IP11" s="236"/>
      <c r="IQ11" s="236"/>
      <c r="IR11" s="236"/>
      <c r="IS11" s="236"/>
      <c r="IT11" s="236"/>
      <c r="IU11" s="236"/>
      <c r="IV11" s="236"/>
      <c r="IW11" s="236"/>
      <c r="IX11" s="236"/>
      <c r="IY11" s="236"/>
      <c r="IZ11" s="236"/>
      <c r="JA11" s="236"/>
      <c r="JB11" s="236"/>
      <c r="JC11" s="236"/>
      <c r="JD11" s="236"/>
      <c r="JE11" s="236"/>
      <c r="JF11" s="236"/>
      <c r="JG11" s="236"/>
      <c r="JH11" s="236"/>
      <c r="JI11" s="236"/>
      <c r="JJ11" s="236"/>
      <c r="JK11" s="236"/>
      <c r="JL11" s="236"/>
      <c r="JM11" s="236"/>
      <c r="JN11" s="236"/>
      <c r="JO11" s="236"/>
      <c r="JP11" s="236"/>
      <c r="JQ11" s="236"/>
      <c r="JR11" s="236"/>
      <c r="JS11" s="236"/>
      <c r="JT11" s="236"/>
      <c r="JU11" s="236"/>
      <c r="JV11" s="236"/>
      <c r="JW11" s="236"/>
      <c r="JX11" s="236"/>
      <c r="JY11" s="236"/>
      <c r="JZ11" s="236"/>
      <c r="KA11" s="236"/>
      <c r="KB11" s="236"/>
      <c r="KC11" s="236"/>
      <c r="KD11" s="236"/>
      <c r="KE11" s="236"/>
      <c r="KF11" s="236"/>
      <c r="KG11" s="236"/>
      <c r="KH11" s="236"/>
      <c r="KI11" s="236"/>
      <c r="KJ11" s="236"/>
      <c r="KK11" s="236"/>
      <c r="KL11" s="236"/>
      <c r="KM11" s="236"/>
      <c r="KN11" s="236"/>
      <c r="KO11" s="236"/>
      <c r="KP11" s="236"/>
      <c r="KQ11" s="236"/>
      <c r="KR11" s="236"/>
      <c r="KS11" s="236"/>
      <c r="KT11" s="236" t="s">
        <v>121</v>
      </c>
      <c r="KU11" s="236"/>
      <c r="KV11" s="236"/>
      <c r="KW11" s="236"/>
      <c r="KX11" s="236"/>
      <c r="KY11" s="236"/>
      <c r="KZ11" s="236"/>
      <c r="LA11" s="236"/>
      <c r="LB11" s="236"/>
      <c r="LC11" s="236"/>
      <c r="LD11" s="236"/>
      <c r="LE11" s="236"/>
      <c r="LF11" s="236"/>
      <c r="LG11" s="236"/>
      <c r="LH11" s="236"/>
      <c r="LI11" s="236"/>
      <c r="LJ11" s="236"/>
      <c r="LK11" s="236"/>
      <c r="LL11" s="236"/>
      <c r="LM11" s="236"/>
      <c r="LN11" s="236"/>
      <c r="LO11" s="236"/>
      <c r="LP11" s="236"/>
      <c r="LQ11" s="236"/>
      <c r="LR11" s="236"/>
      <c r="LS11" s="236"/>
      <c r="LT11" s="236"/>
      <c r="LU11" s="236"/>
      <c r="LV11" s="236"/>
      <c r="LW11" s="236"/>
      <c r="LX11" s="236"/>
      <c r="LY11" s="236"/>
      <c r="LZ11" s="236"/>
      <c r="MA11" s="236"/>
      <c r="MB11" s="236"/>
      <c r="MC11" s="236"/>
      <c r="MD11" s="236"/>
      <c r="ME11" s="236"/>
      <c r="MF11" s="236"/>
      <c r="MG11" s="236"/>
      <c r="MH11" s="236"/>
      <c r="MI11" s="236"/>
      <c r="MJ11" s="236"/>
      <c r="MK11" s="236"/>
      <c r="ML11" s="236"/>
      <c r="MM11" s="236"/>
      <c r="MN11" s="236"/>
      <c r="MO11" s="236"/>
      <c r="MP11" s="236"/>
      <c r="MQ11" s="236"/>
      <c r="MR11" s="236"/>
      <c r="MS11" s="236"/>
      <c r="MT11" s="236"/>
      <c r="MU11" s="236"/>
      <c r="MV11" s="236"/>
      <c r="MW11" s="236"/>
      <c r="MX11" s="236"/>
      <c r="MY11" s="236"/>
      <c r="MZ11" s="236"/>
      <c r="NA11" s="236"/>
      <c r="NB11" s="236" t="s">
        <v>120</v>
      </c>
      <c r="NC11" s="236"/>
      <c r="ND11" s="236"/>
      <c r="NE11" s="236"/>
      <c r="NF11" s="236"/>
      <c r="NG11" s="236"/>
      <c r="NH11" s="236"/>
      <c r="NI11" s="236"/>
      <c r="NJ11" s="236"/>
      <c r="NK11" s="236"/>
      <c r="NL11" s="236"/>
      <c r="NM11" s="236"/>
      <c r="NN11" s="236"/>
      <c r="NO11" s="236"/>
      <c r="NP11" s="236"/>
      <c r="NQ11" s="236"/>
      <c r="NR11" s="236"/>
      <c r="NS11" s="236"/>
      <c r="NT11" s="236"/>
      <c r="NU11" s="236"/>
      <c r="NV11" s="236"/>
      <c r="NW11" s="236"/>
      <c r="NX11" s="236"/>
      <c r="NY11" s="236"/>
      <c r="NZ11" s="236"/>
      <c r="OA11" s="236"/>
      <c r="OB11" s="236"/>
      <c r="OC11" s="236"/>
      <c r="OD11" s="236"/>
      <c r="OE11" s="236"/>
      <c r="OF11" s="236"/>
      <c r="OG11" s="236"/>
      <c r="OH11" s="236"/>
      <c r="OI11" s="236"/>
      <c r="OJ11" s="236"/>
      <c r="OK11" s="236"/>
      <c r="OL11" s="236"/>
      <c r="OM11" s="236"/>
      <c r="ON11" s="236"/>
      <c r="OO11" s="236"/>
      <c r="OP11" s="236"/>
      <c r="OQ11" s="236"/>
      <c r="OR11" s="236"/>
      <c r="OS11" s="236"/>
      <c r="OT11" s="236"/>
      <c r="OU11" s="236"/>
      <c r="OV11" s="236"/>
      <c r="OW11" s="236"/>
      <c r="OX11" s="236"/>
      <c r="OY11" s="236"/>
      <c r="OZ11" s="236"/>
      <c r="PA11" s="236"/>
      <c r="PB11" s="236"/>
      <c r="PC11" s="236"/>
      <c r="PD11" s="236"/>
      <c r="PE11" s="236"/>
      <c r="PF11" s="236"/>
      <c r="PG11" s="236"/>
      <c r="PH11" s="236"/>
      <c r="PI11" s="236"/>
      <c r="PJ11" s="236" t="s">
        <v>119</v>
      </c>
      <c r="PK11" s="236"/>
      <c r="PL11" s="236"/>
      <c r="PM11" s="236"/>
      <c r="PN11" s="236"/>
      <c r="PO11" s="236"/>
      <c r="PP11" s="236"/>
      <c r="PQ11" s="236"/>
      <c r="PR11" s="236"/>
      <c r="PS11" s="236"/>
      <c r="PT11" s="236"/>
      <c r="PU11" s="236"/>
      <c r="PV11" s="236"/>
      <c r="PW11" s="236"/>
      <c r="PX11" s="236"/>
      <c r="PY11" s="236"/>
      <c r="PZ11" s="236"/>
      <c r="QA11" s="236"/>
      <c r="QB11" s="236"/>
      <c r="QC11" s="236"/>
      <c r="QD11" s="236"/>
      <c r="QE11" s="236"/>
      <c r="QF11" s="236"/>
      <c r="QG11" s="236"/>
      <c r="QH11" s="236"/>
      <c r="QI11" s="236"/>
      <c r="QJ11" s="236"/>
      <c r="QK11" s="236"/>
      <c r="QL11" s="236"/>
      <c r="QM11" s="236"/>
      <c r="QN11" s="236"/>
      <c r="QO11" s="236"/>
      <c r="QP11" s="236"/>
      <c r="QQ11" s="236"/>
      <c r="QR11" s="236"/>
      <c r="QS11" s="236"/>
      <c r="QT11" s="236"/>
      <c r="QU11" s="236"/>
      <c r="QV11" s="236"/>
      <c r="QW11" s="236"/>
      <c r="QX11" s="236"/>
      <c r="QY11" s="236"/>
      <c r="QZ11" s="236"/>
      <c r="RA11" s="236"/>
      <c r="RB11" s="236"/>
      <c r="RC11" s="236"/>
      <c r="RD11" s="236"/>
      <c r="RE11" s="236"/>
      <c r="RF11" s="236"/>
      <c r="RG11" s="236"/>
      <c r="RH11" s="236"/>
      <c r="RI11" s="236"/>
      <c r="RJ11" s="236"/>
      <c r="RK11" s="236"/>
      <c r="RL11" s="236"/>
      <c r="RM11" s="236"/>
      <c r="RN11" s="236"/>
      <c r="RO11" s="236"/>
      <c r="RP11" s="236"/>
      <c r="RQ11" s="236"/>
      <c r="RR11" s="236" t="s">
        <v>119</v>
      </c>
      <c r="RS11" s="236"/>
      <c r="RT11" s="236"/>
      <c r="RU11" s="236"/>
      <c r="RV11" s="236"/>
      <c r="RW11" s="236"/>
      <c r="RX11" s="236"/>
      <c r="RY11" s="236"/>
      <c r="RZ11" s="236"/>
      <c r="SA11" s="236"/>
      <c r="SB11" s="236"/>
      <c r="SC11" s="236"/>
      <c r="SD11" s="236"/>
      <c r="SE11" s="236"/>
      <c r="SF11" s="236"/>
      <c r="SG11" s="236"/>
      <c r="SH11" s="236"/>
      <c r="SI11" s="236"/>
      <c r="SJ11" s="236"/>
      <c r="SK11" s="236"/>
      <c r="SL11" s="236"/>
      <c r="SM11" s="236"/>
      <c r="SN11" s="236"/>
      <c r="SO11" s="236"/>
      <c r="SP11" s="236"/>
      <c r="SQ11" s="236"/>
      <c r="SR11" s="236"/>
      <c r="SS11" s="236"/>
      <c r="ST11" s="236"/>
      <c r="SU11" s="236"/>
      <c r="SV11" s="236"/>
      <c r="SW11" s="236"/>
      <c r="SX11" s="236"/>
      <c r="SY11" s="236"/>
      <c r="SZ11" s="236"/>
      <c r="TA11" s="236"/>
      <c r="TB11" s="236"/>
      <c r="TC11" s="236"/>
      <c r="TD11" s="236"/>
      <c r="TE11" s="236"/>
      <c r="TF11" s="236"/>
      <c r="TG11" s="236"/>
      <c r="TH11" s="236"/>
      <c r="TI11" s="236"/>
      <c r="TJ11" s="236"/>
      <c r="TK11" s="236"/>
      <c r="TL11" s="236"/>
      <c r="TM11" s="236"/>
      <c r="TN11" s="236"/>
      <c r="TO11" s="236"/>
      <c r="TP11" s="236"/>
      <c r="TQ11" s="236"/>
      <c r="TR11" s="236"/>
      <c r="TS11" s="236"/>
      <c r="TT11" s="236"/>
      <c r="TU11" s="236"/>
      <c r="TV11" s="236"/>
      <c r="TW11" s="236"/>
      <c r="TX11" s="236"/>
      <c r="TY11" s="236"/>
      <c r="TZ11" s="236" t="s">
        <v>118</v>
      </c>
      <c r="UA11" s="236"/>
      <c r="UB11" s="236"/>
      <c r="UC11" s="236"/>
      <c r="UD11" s="236"/>
      <c r="UE11" s="236"/>
      <c r="UF11" s="236"/>
      <c r="UG11" s="236"/>
      <c r="UH11" s="236"/>
      <c r="UI11" s="236"/>
      <c r="UJ11" s="236"/>
      <c r="UK11" s="236"/>
      <c r="UL11" s="236"/>
      <c r="UM11" s="236"/>
      <c r="UN11" s="236"/>
      <c r="UO11" s="236"/>
      <c r="UP11" s="236"/>
      <c r="UQ11" s="236"/>
      <c r="UR11" s="236"/>
      <c r="US11" s="236"/>
      <c r="UT11" s="236"/>
      <c r="UU11" s="236"/>
      <c r="UV11" s="236"/>
      <c r="UW11" s="236"/>
      <c r="UX11" s="236"/>
      <c r="UY11" s="236"/>
      <c r="UZ11" s="236"/>
      <c r="VA11" s="236"/>
      <c r="VB11" s="236"/>
      <c r="VC11" s="236"/>
      <c r="VD11" s="236"/>
      <c r="VE11" s="236"/>
      <c r="VF11" s="236"/>
      <c r="VG11" s="236"/>
      <c r="VH11" s="236"/>
      <c r="VI11" s="236"/>
      <c r="VJ11" s="236"/>
      <c r="VK11" s="236"/>
      <c r="VL11" s="236"/>
      <c r="VM11" s="236"/>
      <c r="VN11" s="236"/>
      <c r="VO11" s="236"/>
      <c r="VP11" s="236"/>
      <c r="VQ11" s="236"/>
      <c r="VR11" s="236"/>
      <c r="VS11" s="236"/>
      <c r="VT11" s="236"/>
      <c r="VU11" s="236"/>
      <c r="VV11" s="236"/>
      <c r="VW11" s="236"/>
      <c r="VX11" s="236"/>
      <c r="VY11" s="236"/>
      <c r="VZ11" s="236"/>
      <c r="WA11" s="236"/>
      <c r="WB11" s="236"/>
      <c r="WC11" s="236"/>
      <c r="WD11" s="236"/>
      <c r="WE11" s="236"/>
      <c r="WF11" s="236"/>
      <c r="WG11" s="236"/>
      <c r="WH11" s="236" t="s">
        <v>118</v>
      </c>
      <c r="WI11" s="236"/>
      <c r="WJ11" s="236"/>
      <c r="WK11" s="236"/>
      <c r="WL11" s="236"/>
      <c r="WM11" s="236"/>
      <c r="WN11" s="236"/>
      <c r="WO11" s="236"/>
      <c r="WP11" s="236"/>
      <c r="WQ11" s="236"/>
      <c r="WR11" s="236"/>
      <c r="WS11" s="236"/>
      <c r="WT11" s="236"/>
      <c r="WU11" s="236"/>
      <c r="WV11" s="236"/>
      <c r="WW11" s="236"/>
      <c r="WX11" s="236"/>
      <c r="WY11" s="236"/>
      <c r="WZ11" s="236"/>
      <c r="XA11" s="236"/>
      <c r="XB11" s="236"/>
      <c r="XC11" s="236"/>
      <c r="XD11" s="236"/>
      <c r="XE11" s="236"/>
      <c r="XF11" s="236"/>
      <c r="XG11" s="236"/>
      <c r="XH11" s="236"/>
      <c r="XI11" s="236"/>
      <c r="XJ11" s="236"/>
      <c r="XK11" s="236"/>
      <c r="XL11" s="236"/>
      <c r="XM11" s="236"/>
      <c r="XN11" s="236"/>
      <c r="XO11" s="236"/>
      <c r="XP11" s="236"/>
      <c r="XQ11" s="236"/>
      <c r="XR11" s="236"/>
      <c r="XS11" s="236"/>
      <c r="XT11" s="236"/>
      <c r="XU11" s="236"/>
      <c r="XV11" s="236"/>
      <c r="XW11" s="236"/>
      <c r="XX11" s="236"/>
      <c r="XY11" s="236"/>
      <c r="XZ11" s="236"/>
      <c r="YA11" s="236"/>
      <c r="YB11" s="236"/>
      <c r="YC11" s="236"/>
      <c r="YD11" s="236"/>
      <c r="YE11" s="236"/>
      <c r="YF11" s="236"/>
      <c r="YG11" s="236"/>
      <c r="YH11" s="236"/>
      <c r="YI11" s="236"/>
      <c r="YJ11" s="236"/>
      <c r="YK11" s="236"/>
      <c r="YL11" s="236"/>
      <c r="YM11" s="236"/>
      <c r="YN11" s="236"/>
      <c r="YO11" s="236"/>
      <c r="YP11" s="236" t="s">
        <v>117</v>
      </c>
      <c r="YQ11" s="236"/>
      <c r="YR11" s="236"/>
      <c r="YS11" s="236"/>
      <c r="YT11" s="236"/>
      <c r="YU11" s="236"/>
      <c r="YV11" s="236"/>
      <c r="YW11" s="236"/>
      <c r="YX11" s="236"/>
      <c r="YY11" s="236"/>
      <c r="YZ11" s="236"/>
      <c r="ZA11" s="236"/>
      <c r="ZB11" s="236"/>
      <c r="ZC11" s="236"/>
      <c r="ZD11" s="236"/>
      <c r="ZE11" s="236"/>
      <c r="ZF11" s="236"/>
      <c r="ZG11" s="236"/>
      <c r="ZH11" s="236"/>
      <c r="ZI11" s="236"/>
      <c r="ZJ11" s="236"/>
      <c r="ZK11" s="236"/>
      <c r="ZL11" s="236"/>
      <c r="ZM11" s="236"/>
      <c r="ZN11" s="236"/>
      <c r="ZO11" s="236"/>
      <c r="ZP11" s="236"/>
      <c r="ZQ11" s="236"/>
      <c r="ZR11" s="236"/>
      <c r="ZS11" s="236"/>
      <c r="ZT11" s="236"/>
      <c r="ZU11" s="236"/>
      <c r="ZV11" s="236"/>
      <c r="ZW11" s="236"/>
      <c r="ZX11" s="236"/>
      <c r="ZY11" s="236"/>
      <c r="ZZ11" s="236"/>
      <c r="AAA11" s="236"/>
      <c r="AAB11" s="236"/>
      <c r="AAC11" s="236"/>
      <c r="AAD11" s="236"/>
      <c r="AAE11" s="236"/>
      <c r="AAF11" s="236"/>
      <c r="AAG11" s="236"/>
      <c r="AAH11" s="236"/>
      <c r="AAI11" s="236"/>
      <c r="AAJ11" s="236"/>
      <c r="AAK11" s="236"/>
      <c r="AAL11" s="236"/>
      <c r="AAM11" s="236"/>
      <c r="AAN11" s="236"/>
      <c r="AAO11" s="236"/>
      <c r="AAP11" s="236"/>
      <c r="AAQ11" s="236"/>
      <c r="AAR11" s="236"/>
      <c r="AAS11" s="236"/>
      <c r="AAT11" s="236"/>
      <c r="AAU11" s="236"/>
      <c r="AAV11" s="236"/>
      <c r="AAW11" s="236"/>
      <c r="AAX11" s="236" t="s">
        <v>117</v>
      </c>
      <c r="AAY11" s="236"/>
      <c r="AAZ11" s="236"/>
      <c r="ABA11" s="236"/>
      <c r="ABB11" s="236"/>
      <c r="ABC11" s="236"/>
      <c r="ABD11" s="236"/>
      <c r="ABE11" s="236"/>
      <c r="ABF11" s="236"/>
      <c r="ABG11" s="236"/>
      <c r="ABH11" s="236"/>
      <c r="ABI11" s="236"/>
      <c r="ABJ11" s="236"/>
      <c r="ABK11" s="236"/>
      <c r="ABL11" s="236"/>
      <c r="ABM11" s="236"/>
      <c r="ABN11" s="236"/>
      <c r="ABO11" s="236"/>
      <c r="ABP11" s="236"/>
      <c r="ABQ11" s="236"/>
      <c r="ABR11" s="236"/>
      <c r="ABS11" s="236"/>
      <c r="ABT11" s="236"/>
      <c r="ABU11" s="236"/>
      <c r="ABV11" s="236"/>
      <c r="ABW11" s="236"/>
      <c r="ABX11" s="236"/>
      <c r="ABY11" s="236"/>
      <c r="ABZ11" s="236"/>
      <c r="ACA11" s="236"/>
      <c r="ACB11" s="236"/>
      <c r="ACC11" s="236"/>
      <c r="ACD11" s="236"/>
      <c r="ACE11" s="236"/>
      <c r="ACF11" s="236"/>
      <c r="ACG11" s="236"/>
      <c r="ACH11" s="236"/>
      <c r="ACI11" s="236"/>
      <c r="ACJ11" s="236"/>
      <c r="ACK11" s="236"/>
      <c r="ACL11" s="236"/>
      <c r="ACM11" s="236"/>
      <c r="ACN11" s="236"/>
      <c r="ACO11" s="236"/>
      <c r="ACP11" s="236"/>
      <c r="ACQ11" s="236"/>
      <c r="ACR11" s="236"/>
      <c r="ACS11" s="236"/>
      <c r="ACT11" s="236"/>
      <c r="ACU11" s="236"/>
      <c r="ACV11" s="236"/>
      <c r="ACW11" s="236"/>
      <c r="ACX11" s="236"/>
      <c r="ACY11" s="236"/>
      <c r="ACZ11" s="236"/>
      <c r="ADA11" s="236"/>
      <c r="ADB11" s="236"/>
      <c r="ADC11" s="236"/>
      <c r="ADD11" s="236"/>
      <c r="ADE11" s="236"/>
      <c r="ADF11" s="236" t="s">
        <v>116</v>
      </c>
      <c r="ADG11" s="236"/>
      <c r="ADH11" s="236"/>
      <c r="ADI11" s="236"/>
      <c r="ADJ11" s="236"/>
      <c r="ADK11" s="236"/>
      <c r="ADL11" s="236"/>
      <c r="ADM11" s="236"/>
      <c r="ADN11" s="236"/>
      <c r="ADO11" s="236"/>
      <c r="ADP11" s="236"/>
      <c r="ADQ11" s="236"/>
      <c r="ADR11" s="236"/>
      <c r="ADS11" s="236"/>
      <c r="ADT11" s="236"/>
      <c r="ADU11" s="236"/>
      <c r="ADV11" s="236"/>
      <c r="ADW11" s="236"/>
      <c r="ADX11" s="236"/>
      <c r="ADY11" s="236"/>
      <c r="ADZ11" s="236"/>
      <c r="AEA11" s="236"/>
      <c r="AEB11" s="236"/>
      <c r="AEC11" s="236"/>
      <c r="AED11" s="236"/>
      <c r="AEE11" s="236"/>
      <c r="AEF11" s="236"/>
      <c r="AEG11" s="236"/>
      <c r="AEH11" s="236"/>
      <c r="AEI11" s="236"/>
      <c r="AEJ11" s="236"/>
      <c r="AEK11" s="236"/>
      <c r="AEL11" s="236"/>
      <c r="AEM11" s="236"/>
      <c r="AEN11" s="236"/>
      <c r="AEO11" s="236"/>
      <c r="AEP11" s="236"/>
      <c r="AEQ11" s="236"/>
      <c r="AER11" s="236"/>
      <c r="AES11" s="236"/>
      <c r="AET11" s="236"/>
      <c r="AEU11" s="236"/>
      <c r="AEV11" s="236"/>
      <c r="AEW11" s="236"/>
      <c r="AEX11" s="236"/>
      <c r="AEY11" s="236"/>
      <c r="AEZ11" s="236"/>
      <c r="AFA11" s="236"/>
      <c r="AFB11" s="236"/>
      <c r="AFC11" s="236"/>
      <c r="AFD11" s="236"/>
      <c r="AFE11" s="236"/>
      <c r="AFF11" s="236"/>
      <c r="AFG11" s="236"/>
      <c r="AFH11" s="236"/>
      <c r="AFI11" s="236"/>
      <c r="AFJ11" s="236"/>
      <c r="AFK11" s="236"/>
      <c r="AFL11" s="236"/>
      <c r="AFM11" s="236"/>
      <c r="AFN11" s="236" t="s">
        <v>115</v>
      </c>
      <c r="AFO11" s="236"/>
      <c r="AFP11" s="236"/>
      <c r="AFQ11" s="236"/>
      <c r="AFR11" s="236"/>
      <c r="AFS11" s="236"/>
      <c r="AFT11" s="236"/>
      <c r="AFU11" s="236"/>
      <c r="AFV11" s="236"/>
      <c r="AFW11" s="236"/>
      <c r="AFX11" s="236"/>
      <c r="AFY11" s="236"/>
      <c r="AFZ11" s="236"/>
      <c r="AGA11" s="236"/>
      <c r="AGB11" s="236"/>
      <c r="AGC11" s="236"/>
      <c r="AGD11" s="236"/>
      <c r="AGE11" s="236"/>
      <c r="AGF11" s="236"/>
      <c r="AGG11" s="236"/>
      <c r="AGH11" s="236"/>
      <c r="AGI11" s="236"/>
      <c r="AGJ11" s="236"/>
      <c r="AGK11" s="236"/>
      <c r="AGL11" s="236"/>
      <c r="AGM11" s="236"/>
      <c r="AGN11" s="236"/>
      <c r="AGO11" s="236"/>
      <c r="AGP11" s="236"/>
      <c r="AGQ11" s="236"/>
      <c r="AGR11" s="236"/>
      <c r="AGS11" s="236"/>
      <c r="AGT11" s="236"/>
      <c r="AGU11" s="236"/>
      <c r="AGV11" s="236"/>
      <c r="AGW11" s="236"/>
      <c r="AGX11" s="236"/>
      <c r="AGY11" s="236"/>
      <c r="AGZ11" s="236"/>
      <c r="AHA11" s="236"/>
      <c r="AHB11" s="236"/>
      <c r="AHC11" s="236"/>
      <c r="AHD11" s="236"/>
      <c r="AHE11" s="236"/>
      <c r="AHF11" s="236"/>
      <c r="AHG11" s="236"/>
      <c r="AHH11" s="236"/>
      <c r="AHI11" s="236"/>
      <c r="AHJ11" s="236"/>
      <c r="AHK11" s="236"/>
      <c r="AHL11" s="236"/>
      <c r="AHM11" s="236"/>
      <c r="AHN11" s="236"/>
      <c r="AHO11" s="236"/>
      <c r="AHP11" s="236"/>
      <c r="AHQ11" s="236"/>
      <c r="AHR11" s="236"/>
      <c r="AHS11" s="236"/>
      <c r="AHT11" s="236"/>
      <c r="AHU11" s="236"/>
      <c r="AHV11" s="236" t="s">
        <v>115</v>
      </c>
      <c r="AHW11" s="236"/>
      <c r="AHX11" s="236"/>
      <c r="AHY11" s="236"/>
      <c r="AHZ11" s="236"/>
      <c r="AIA11" s="236"/>
      <c r="AIB11" s="236"/>
      <c r="AIC11" s="236"/>
      <c r="AID11" s="236"/>
      <c r="AIE11" s="236"/>
      <c r="AIF11" s="236"/>
      <c r="AIG11" s="236"/>
      <c r="AIH11" s="236"/>
      <c r="AII11" s="236"/>
      <c r="AIJ11" s="236"/>
      <c r="AIK11" s="236"/>
      <c r="AIL11" s="236"/>
      <c r="AIM11" s="236"/>
      <c r="AIN11" s="236"/>
      <c r="AIO11" s="236"/>
      <c r="AIP11" s="236"/>
      <c r="AIQ11" s="236"/>
      <c r="AIR11" s="236"/>
      <c r="AIS11" s="236"/>
      <c r="AIT11" s="236"/>
      <c r="AIU11" s="236"/>
      <c r="AIV11" s="236"/>
      <c r="AIW11" s="236"/>
      <c r="AIX11" s="236"/>
      <c r="AIY11" s="236"/>
      <c r="AIZ11" s="236"/>
      <c r="AJA11" s="236"/>
      <c r="AJB11" s="236"/>
      <c r="AJC11" s="236"/>
      <c r="AJD11" s="236"/>
      <c r="AJE11" s="236"/>
      <c r="AJF11" s="236"/>
      <c r="AJG11" s="236"/>
      <c r="AJH11" s="236"/>
      <c r="AJI11" s="236"/>
      <c r="AJJ11" s="236"/>
      <c r="AJK11" s="236"/>
      <c r="AJL11" s="236"/>
      <c r="AJM11" s="236"/>
      <c r="AJN11" s="236"/>
      <c r="AJO11" s="236"/>
      <c r="AJP11" s="236"/>
      <c r="AJQ11" s="236"/>
      <c r="AJR11" s="236"/>
      <c r="AJS11" s="236"/>
      <c r="AJT11" s="236"/>
      <c r="AJU11" s="236"/>
      <c r="AJV11" s="236"/>
      <c r="AJW11" s="236"/>
      <c r="AJX11" s="236"/>
      <c r="AJY11" s="236"/>
      <c r="AJZ11" s="236"/>
      <c r="AKA11" s="236"/>
      <c r="AKB11" s="236"/>
      <c r="AKC11" s="236"/>
      <c r="AKD11" s="236" t="s">
        <v>114</v>
      </c>
      <c r="AKE11" s="236"/>
      <c r="AKF11" s="236"/>
      <c r="AKG11" s="236"/>
      <c r="AKH11" s="236"/>
      <c r="AKI11" s="236"/>
      <c r="AKJ11" s="236"/>
      <c r="AKK11" s="236"/>
      <c r="AKL11" s="236"/>
      <c r="AKM11" s="236"/>
      <c r="AKN11" s="236"/>
      <c r="AKO11" s="236"/>
      <c r="AKP11" s="236"/>
      <c r="AKQ11" s="236"/>
      <c r="AKR11" s="236"/>
      <c r="AKS11" s="236"/>
      <c r="AKT11" s="236"/>
      <c r="AKU11" s="236"/>
      <c r="AKV11" s="236"/>
      <c r="AKW11" s="236"/>
      <c r="AKX11" s="236"/>
      <c r="AKY11" s="236"/>
      <c r="AKZ11" s="236"/>
      <c r="ALA11" s="236"/>
      <c r="ALB11" s="236"/>
      <c r="ALC11" s="236"/>
      <c r="ALD11" s="236"/>
      <c r="ALE11" s="236"/>
      <c r="ALF11" s="236"/>
      <c r="ALG11" s="236"/>
      <c r="ALH11" s="236"/>
      <c r="ALI11" s="236"/>
      <c r="ALJ11" s="236"/>
      <c r="ALK11" s="236"/>
      <c r="ALL11" s="236"/>
      <c r="ALM11" s="236"/>
      <c r="ALN11" s="236"/>
      <c r="ALO11" s="236"/>
      <c r="ALP11" s="236"/>
      <c r="ALQ11" s="236"/>
      <c r="ALR11" s="236"/>
      <c r="ALS11" s="236"/>
      <c r="ALT11" s="236"/>
      <c r="ALU11" s="236"/>
      <c r="ALV11" s="236"/>
      <c r="ALW11" s="236"/>
      <c r="ALX11" s="236"/>
      <c r="ALY11" s="236"/>
      <c r="ALZ11" s="236"/>
      <c r="AMA11" s="236"/>
      <c r="AMB11" s="236"/>
      <c r="AMC11" s="236"/>
      <c r="AMD11" s="236"/>
      <c r="AME11" s="236"/>
      <c r="AMF11" s="236"/>
      <c r="AMG11" s="236"/>
      <c r="AMH11" s="236"/>
      <c r="AMI11" s="236"/>
      <c r="AMJ11" s="236"/>
      <c r="AMK11" s="236"/>
      <c r="AML11" s="236" t="s">
        <v>114</v>
      </c>
      <c r="AMM11" s="236"/>
      <c r="AMN11" s="236"/>
      <c r="AMO11" s="236"/>
      <c r="AMP11" s="236"/>
      <c r="AMQ11" s="236"/>
      <c r="AMR11" s="236"/>
      <c r="AMS11" s="236"/>
      <c r="AMT11" s="236"/>
      <c r="AMU11" s="236"/>
      <c r="AMV11" s="236"/>
      <c r="AMW11" s="236"/>
      <c r="AMX11" s="236"/>
      <c r="AMY11" s="236"/>
      <c r="AMZ11" s="236"/>
      <c r="ANA11" s="236"/>
      <c r="ANB11" s="236"/>
      <c r="ANC11" s="236"/>
      <c r="AND11" s="236"/>
      <c r="ANE11" s="236"/>
      <c r="ANF11" s="236"/>
      <c r="ANG11" s="236"/>
      <c r="ANH11" s="236"/>
      <c r="ANI11" s="236"/>
      <c r="ANJ11" s="236"/>
      <c r="ANK11" s="236"/>
      <c r="ANL11" s="236"/>
      <c r="ANM11" s="236"/>
      <c r="ANN11" s="236"/>
      <c r="ANO11" s="236"/>
      <c r="ANP11" s="236"/>
      <c r="ANQ11" s="236"/>
      <c r="ANR11" s="236"/>
      <c r="ANS11" s="236"/>
      <c r="ANT11" s="236"/>
      <c r="ANU11" s="236"/>
      <c r="ANV11" s="236"/>
      <c r="ANW11" s="236"/>
      <c r="ANX11" s="236"/>
      <c r="ANY11" s="236"/>
      <c r="ANZ11" s="236"/>
      <c r="AOA11" s="236"/>
      <c r="AOB11" s="236"/>
      <c r="AOC11" s="236"/>
      <c r="AOD11" s="236"/>
      <c r="AOE11" s="236"/>
      <c r="AOF11" s="236"/>
      <c r="AOG11" s="236"/>
      <c r="AOH11" s="236"/>
      <c r="AOI11" s="236"/>
      <c r="AOJ11" s="236"/>
      <c r="AOK11" s="236"/>
      <c r="AOL11" s="236"/>
      <c r="AOM11" s="236"/>
      <c r="AON11" s="236"/>
      <c r="AOO11" s="236"/>
      <c r="AOP11" s="236"/>
      <c r="AOQ11" s="236"/>
      <c r="AOR11" s="236"/>
      <c r="AOS11" s="236"/>
      <c r="AOT11" s="236" t="s">
        <v>113</v>
      </c>
      <c r="AOU11" s="236"/>
      <c r="AOV11" s="236"/>
      <c r="AOW11" s="236"/>
      <c r="AOX11" s="236"/>
      <c r="AOY11" s="236"/>
      <c r="AOZ11" s="236"/>
      <c r="APA11" s="236"/>
      <c r="APB11" s="236"/>
      <c r="APC11" s="236"/>
      <c r="APD11" s="236"/>
      <c r="APE11" s="236"/>
      <c r="APF11" s="236"/>
      <c r="APG11" s="236"/>
      <c r="APH11" s="236"/>
      <c r="API11" s="236"/>
      <c r="APJ11" s="236"/>
      <c r="APK11" s="236"/>
      <c r="APL11" s="236"/>
      <c r="APM11" s="236"/>
      <c r="APN11" s="236"/>
      <c r="APO11" s="236"/>
      <c r="APP11" s="236"/>
      <c r="APQ11" s="236"/>
      <c r="APR11" s="236"/>
      <c r="APS11" s="236"/>
      <c r="APT11" s="236"/>
      <c r="APU11" s="236"/>
      <c r="APV11" s="236"/>
      <c r="APW11" s="236"/>
      <c r="APX11" s="236"/>
      <c r="APY11" s="236"/>
      <c r="APZ11" s="236"/>
      <c r="AQA11" s="236"/>
      <c r="AQB11" s="236"/>
      <c r="AQC11" s="236"/>
      <c r="AQD11" s="236"/>
      <c r="AQE11" s="236"/>
      <c r="AQF11" s="236"/>
      <c r="AQG11" s="236"/>
      <c r="AQH11" s="236"/>
      <c r="AQI11" s="236"/>
      <c r="AQJ11" s="236"/>
      <c r="AQK11" s="236"/>
      <c r="AQL11" s="236"/>
      <c r="AQM11" s="236"/>
      <c r="AQN11" s="236"/>
      <c r="AQO11" s="236"/>
      <c r="AQP11" s="236"/>
      <c r="AQQ11" s="236"/>
      <c r="AQR11" s="236"/>
      <c r="AQS11" s="236"/>
      <c r="AQT11" s="236"/>
      <c r="AQU11" s="236"/>
      <c r="AQV11" s="236"/>
      <c r="AQW11" s="236"/>
      <c r="AQX11" s="236"/>
      <c r="AQY11" s="236"/>
      <c r="AQZ11" s="236"/>
      <c r="ARA11" s="236"/>
      <c r="ARB11" s="236" t="s">
        <v>113</v>
      </c>
      <c r="ARC11" s="236"/>
      <c r="ARD11" s="236"/>
      <c r="ARE11" s="236"/>
      <c r="ARF11" s="236"/>
      <c r="ARG11" s="236"/>
      <c r="ARH11" s="236"/>
      <c r="ARI11" s="236"/>
      <c r="ARJ11" s="236"/>
      <c r="ARK11" s="236"/>
      <c r="ARL11" s="236"/>
      <c r="ARM11" s="236"/>
      <c r="ARN11" s="236"/>
      <c r="ARO11" s="236"/>
      <c r="ARP11" s="236"/>
      <c r="ARQ11" s="236"/>
      <c r="ARR11" s="236"/>
      <c r="ARS11" s="236"/>
      <c r="ART11" s="236"/>
      <c r="ARU11" s="236"/>
      <c r="ARV11" s="236"/>
      <c r="ARW11" s="236"/>
      <c r="ARX11" s="236"/>
      <c r="ARY11" s="236"/>
      <c r="ARZ11" s="236"/>
      <c r="ASA11" s="236"/>
      <c r="ASB11" s="236"/>
      <c r="ASC11" s="236"/>
      <c r="ASD11" s="236"/>
      <c r="ASE11" s="236"/>
      <c r="ASF11" s="236"/>
      <c r="ASG11" s="236"/>
      <c r="ASH11" s="236"/>
      <c r="ASI11" s="236"/>
      <c r="ASJ11" s="236"/>
      <c r="ASK11" s="236"/>
      <c r="ASL11" s="236"/>
      <c r="ASM11" s="236"/>
      <c r="ASN11" s="236"/>
      <c r="ASO11" s="236"/>
      <c r="ASP11" s="236"/>
      <c r="ASQ11" s="236"/>
      <c r="ASR11" s="236"/>
      <c r="ASS11" s="236"/>
      <c r="AST11" s="236"/>
      <c r="ASU11" s="236"/>
      <c r="ASV11" s="236"/>
      <c r="ASW11" s="236"/>
      <c r="ASX11" s="236"/>
      <c r="ASY11" s="236"/>
      <c r="ASZ11" s="236"/>
      <c r="ATA11" s="236"/>
      <c r="ATB11" s="236"/>
      <c r="ATC11" s="236"/>
      <c r="ATD11" s="236"/>
      <c r="ATE11" s="236"/>
      <c r="ATF11" s="236"/>
      <c r="ATG11" s="236"/>
      <c r="ATH11" s="236"/>
      <c r="ATI11" s="236"/>
      <c r="ATJ11" s="236" t="s">
        <v>112</v>
      </c>
      <c r="ATK11" s="236"/>
      <c r="ATL11" s="236"/>
      <c r="ATM11" s="236"/>
      <c r="ATN11" s="236"/>
      <c r="ATO11" s="236"/>
      <c r="ATP11" s="236"/>
      <c r="ATQ11" s="236"/>
      <c r="ATR11" s="236"/>
      <c r="ATS11" s="236"/>
      <c r="ATT11" s="236"/>
      <c r="ATU11" s="236"/>
      <c r="ATV11" s="236"/>
      <c r="ATW11" s="236"/>
      <c r="ATX11" s="236"/>
      <c r="ATY11" s="236"/>
      <c r="ATZ11" s="236"/>
      <c r="AUA11" s="236"/>
      <c r="AUB11" s="236"/>
      <c r="AUC11" s="236"/>
      <c r="AUD11" s="236"/>
      <c r="AUE11" s="236"/>
      <c r="AUF11" s="236"/>
      <c r="AUG11" s="236"/>
      <c r="AUH11" s="236"/>
      <c r="AUI11" s="236"/>
      <c r="AUJ11" s="236"/>
      <c r="AUK11" s="236"/>
      <c r="AUL11" s="236"/>
      <c r="AUM11" s="236"/>
      <c r="AUN11" s="236"/>
      <c r="AUO11" s="236"/>
      <c r="AUP11" s="236"/>
      <c r="AUQ11" s="236"/>
      <c r="AUR11" s="236"/>
      <c r="AUS11" s="236"/>
      <c r="AUT11" s="236"/>
      <c r="AUU11" s="236"/>
      <c r="AUV11" s="236"/>
      <c r="AUW11" s="236"/>
      <c r="AUX11" s="236"/>
      <c r="AUY11" s="236"/>
      <c r="AUZ11" s="236"/>
      <c r="AVA11" s="236"/>
      <c r="AVB11" s="236"/>
      <c r="AVC11" s="236"/>
      <c r="AVD11" s="236"/>
      <c r="AVE11" s="236"/>
      <c r="AVF11" s="236"/>
      <c r="AVG11" s="236"/>
      <c r="AVH11" s="236"/>
      <c r="AVI11" s="236"/>
      <c r="AVJ11" s="236"/>
      <c r="AVK11" s="236"/>
      <c r="AVL11" s="236"/>
      <c r="AVM11" s="236"/>
      <c r="AVN11" s="236"/>
      <c r="AVO11" s="236"/>
      <c r="AVP11" s="236"/>
      <c r="AVQ11" s="236"/>
      <c r="AVR11" s="236" t="s">
        <v>111</v>
      </c>
      <c r="AVS11" s="236"/>
      <c r="AVT11" s="236"/>
      <c r="AVU11" s="236"/>
      <c r="AVV11" s="236"/>
      <c r="AVW11" s="236"/>
      <c r="AVX11" s="236"/>
      <c r="AVY11" s="236"/>
      <c r="AVZ11" s="236"/>
      <c r="AWA11" s="236"/>
      <c r="AWB11" s="236"/>
      <c r="AWC11" s="236"/>
      <c r="AWD11" s="236"/>
      <c r="AWE11" s="236"/>
      <c r="AWF11" s="236"/>
      <c r="AWG11" s="236"/>
      <c r="AWH11" s="236"/>
      <c r="AWI11" s="236"/>
      <c r="AWJ11" s="236"/>
      <c r="AWK11" s="236"/>
      <c r="AWL11" s="236"/>
      <c r="AWM11" s="236"/>
      <c r="AWN11" s="236"/>
      <c r="AWO11" s="236"/>
      <c r="AWP11" s="236"/>
      <c r="AWQ11" s="236"/>
      <c r="AWR11" s="236"/>
      <c r="AWS11" s="236"/>
      <c r="AWT11" s="236"/>
      <c r="AWU11" s="236"/>
      <c r="AWV11" s="236"/>
      <c r="AWW11" s="236"/>
      <c r="AWX11" s="236"/>
      <c r="AWY11" s="236"/>
      <c r="AWZ11" s="236"/>
      <c r="AXA11" s="236"/>
      <c r="AXB11" s="236"/>
      <c r="AXC11" s="236"/>
      <c r="AXD11" s="236"/>
      <c r="AXE11" s="236"/>
      <c r="AXF11" s="236"/>
      <c r="AXG11" s="236"/>
      <c r="AXH11" s="236"/>
      <c r="AXI11" s="236"/>
      <c r="AXJ11" s="236"/>
      <c r="AXK11" s="236"/>
      <c r="AXL11" s="236"/>
      <c r="AXM11" s="236"/>
      <c r="AXN11" s="236"/>
      <c r="AXO11" s="236"/>
      <c r="AXP11" s="236"/>
      <c r="AXQ11" s="236"/>
      <c r="AXR11" s="236"/>
      <c r="AXS11" s="236"/>
      <c r="AXT11" s="236"/>
      <c r="AXU11" s="236"/>
      <c r="AXV11" s="236"/>
      <c r="AXW11" s="236"/>
      <c r="AXX11" s="236"/>
      <c r="AXY11" s="236"/>
      <c r="AXZ11" s="236" t="s">
        <v>111</v>
      </c>
      <c r="AYA11" s="236"/>
      <c r="AYB11" s="236"/>
      <c r="AYC11" s="236"/>
      <c r="AYD11" s="236"/>
      <c r="AYE11" s="236"/>
      <c r="AYF11" s="236"/>
      <c r="AYG11" s="236"/>
      <c r="AYH11" s="236"/>
      <c r="AYI11" s="236"/>
      <c r="AYJ11" s="236"/>
      <c r="AYK11" s="236"/>
      <c r="AYL11" s="236"/>
      <c r="AYM11" s="236"/>
      <c r="AYN11" s="236"/>
      <c r="AYO11" s="236"/>
      <c r="AYP11" s="236"/>
      <c r="AYQ11" s="236"/>
      <c r="AYR11" s="236"/>
      <c r="AYS11" s="236"/>
      <c r="AYT11" s="236"/>
      <c r="AYU11" s="236"/>
      <c r="AYV11" s="236"/>
      <c r="AYW11" s="236"/>
      <c r="AYX11" s="236"/>
      <c r="AYY11" s="236"/>
      <c r="AYZ11" s="236"/>
      <c r="AZA11" s="236"/>
      <c r="AZB11" s="236"/>
      <c r="AZC11" s="236"/>
      <c r="AZD11" s="236"/>
      <c r="AZE11" s="236"/>
      <c r="AZF11" s="236"/>
      <c r="AZG11" s="236"/>
      <c r="AZH11" s="236"/>
      <c r="AZI11" s="236"/>
      <c r="AZJ11" s="236"/>
      <c r="AZK11" s="236"/>
      <c r="AZL11" s="236"/>
      <c r="AZM11" s="236"/>
      <c r="AZN11" s="236"/>
      <c r="AZO11" s="236"/>
      <c r="AZP11" s="236"/>
      <c r="AZQ11" s="236"/>
      <c r="AZR11" s="236"/>
      <c r="AZS11" s="236"/>
      <c r="AZT11" s="236"/>
      <c r="AZU11" s="236"/>
      <c r="AZV11" s="236"/>
      <c r="AZW11" s="236"/>
      <c r="AZX11" s="236"/>
      <c r="AZY11" s="236"/>
      <c r="AZZ11" s="236"/>
      <c r="BAA11" s="236"/>
      <c r="BAB11" s="236"/>
      <c r="BAC11" s="236"/>
      <c r="BAD11" s="236"/>
      <c r="BAE11" s="236"/>
      <c r="BAF11" s="236"/>
      <c r="BAG11" s="236"/>
      <c r="BAH11" s="236" t="s">
        <v>110</v>
      </c>
      <c r="BAI11" s="236"/>
      <c r="BAJ11" s="236"/>
      <c r="BAK11" s="236"/>
      <c r="BAL11" s="236"/>
      <c r="BAM11" s="236"/>
      <c r="BAN11" s="236"/>
      <c r="BAO11" s="236"/>
      <c r="BAP11" s="236"/>
      <c r="BAQ11" s="236"/>
      <c r="BAR11" s="236"/>
      <c r="BAS11" s="236"/>
      <c r="BAT11" s="236"/>
      <c r="BAU11" s="236"/>
      <c r="BAV11" s="236"/>
      <c r="BAW11" s="236"/>
      <c r="BAX11" s="236"/>
      <c r="BAY11" s="236"/>
      <c r="BAZ11" s="236"/>
      <c r="BBA11" s="236"/>
      <c r="BBB11" s="236"/>
      <c r="BBC11" s="236"/>
      <c r="BBD11" s="236"/>
      <c r="BBE11" s="236"/>
      <c r="BBF11" s="236"/>
      <c r="BBG11" s="236"/>
      <c r="BBH11" s="236"/>
      <c r="BBI11" s="236"/>
      <c r="BBJ11" s="236"/>
      <c r="BBK11" s="236"/>
      <c r="BBL11" s="236"/>
      <c r="BBM11" s="236"/>
      <c r="BBN11" s="236"/>
      <c r="BBO11" s="236"/>
      <c r="BBP11" s="236"/>
      <c r="BBQ11" s="236"/>
      <c r="BBR11" s="236"/>
      <c r="BBS11" s="236"/>
      <c r="BBT11" s="236"/>
      <c r="BBU11" s="236"/>
      <c r="BBV11" s="236"/>
      <c r="BBW11" s="236"/>
      <c r="BBX11" s="236"/>
      <c r="BBY11" s="236"/>
      <c r="BBZ11" s="236"/>
      <c r="BCA11" s="236"/>
      <c r="BCB11" s="236"/>
      <c r="BCC11" s="236"/>
      <c r="BCD11" s="236"/>
      <c r="BCE11" s="236"/>
      <c r="BCF11" s="236"/>
      <c r="BCG11" s="236"/>
      <c r="BCH11" s="236"/>
      <c r="BCI11" s="236"/>
      <c r="BCJ11" s="236"/>
      <c r="BCK11" s="236"/>
      <c r="BCL11" s="236"/>
      <c r="BCM11" s="236"/>
      <c r="BCN11" s="236"/>
      <c r="BCO11" s="236"/>
      <c r="BCP11" s="236" t="s">
        <v>109</v>
      </c>
      <c r="BCQ11" s="236"/>
      <c r="BCR11" s="236"/>
      <c r="BCS11" s="236"/>
      <c r="BCT11" s="236"/>
      <c r="BCU11" s="236"/>
      <c r="BCV11" s="236"/>
      <c r="BCW11" s="236"/>
      <c r="BCX11" s="236"/>
      <c r="BCY11" s="236"/>
      <c r="BCZ11" s="236"/>
      <c r="BDA11" s="236"/>
      <c r="BDB11" s="236"/>
      <c r="BDC11" s="236"/>
      <c r="BDD11" s="236"/>
      <c r="BDE11" s="236"/>
      <c r="BDF11" s="236"/>
      <c r="BDG11" s="236"/>
      <c r="BDH11" s="236"/>
      <c r="BDI11" s="236"/>
      <c r="BDJ11" s="236"/>
      <c r="BDK11" s="236"/>
      <c r="BDL11" s="236"/>
      <c r="BDM11" s="236"/>
      <c r="BDN11" s="236"/>
      <c r="BDO11" s="236"/>
      <c r="BDP11" s="236"/>
      <c r="BDQ11" s="236"/>
      <c r="BDR11" s="236"/>
      <c r="BDS11" s="236"/>
      <c r="BDT11" s="236"/>
      <c r="BDU11" s="236"/>
      <c r="BDV11" s="236"/>
      <c r="BDW11" s="236"/>
      <c r="BDX11" s="236"/>
      <c r="BDY11" s="236"/>
      <c r="BDZ11" s="236"/>
      <c r="BEA11" s="236"/>
      <c r="BEB11" s="236"/>
      <c r="BEC11" s="236"/>
      <c r="BED11" s="236"/>
      <c r="BEE11" s="236"/>
      <c r="BEF11" s="236"/>
      <c r="BEG11" s="236"/>
      <c r="BEH11" s="236"/>
      <c r="BEI11" s="236"/>
      <c r="BEJ11" s="236"/>
      <c r="BEK11" s="236"/>
      <c r="BEL11" s="236"/>
      <c r="BEM11" s="236"/>
      <c r="BEN11" s="236"/>
      <c r="BEO11" s="236"/>
      <c r="BEP11" s="236"/>
      <c r="BEQ11" s="236"/>
      <c r="BER11" s="236"/>
      <c r="BES11" s="236"/>
      <c r="BET11" s="236"/>
      <c r="BEU11" s="236"/>
      <c r="BEV11" s="236"/>
      <c r="BEW11" s="236"/>
      <c r="BEX11" s="236" t="s">
        <v>109</v>
      </c>
      <c r="BEY11" s="236"/>
      <c r="BEZ11" s="236"/>
      <c r="BFA11" s="236"/>
      <c r="BFB11" s="236"/>
      <c r="BFC11" s="236"/>
      <c r="BFD11" s="236"/>
      <c r="BFE11" s="236"/>
      <c r="BFF11" s="236"/>
      <c r="BFG11" s="236"/>
      <c r="BFH11" s="236"/>
      <c r="BFI11" s="236"/>
      <c r="BFJ11" s="236"/>
      <c r="BFK11" s="236"/>
      <c r="BFL11" s="236"/>
      <c r="BFM11" s="236"/>
      <c r="BFN11" s="236"/>
      <c r="BFO11" s="236"/>
      <c r="BFP11" s="236"/>
      <c r="BFQ11" s="236"/>
      <c r="BFR11" s="236"/>
      <c r="BFS11" s="236"/>
      <c r="BFT11" s="236"/>
      <c r="BFU11" s="236"/>
      <c r="BFV11" s="236"/>
      <c r="BFW11" s="236"/>
      <c r="BFX11" s="236"/>
      <c r="BFY11" s="236"/>
      <c r="BFZ11" s="236"/>
      <c r="BGA11" s="236"/>
      <c r="BGB11" s="236"/>
      <c r="BGC11" s="236"/>
      <c r="BGD11" s="236"/>
      <c r="BGE11" s="236"/>
      <c r="BGF11" s="236"/>
      <c r="BGG11" s="236"/>
      <c r="BGH11" s="236"/>
      <c r="BGI11" s="236"/>
      <c r="BGJ11" s="236"/>
      <c r="BGK11" s="236"/>
      <c r="BGL11" s="236"/>
      <c r="BGM11" s="236"/>
      <c r="BGN11" s="236"/>
      <c r="BGO11" s="236"/>
      <c r="BGP11" s="236"/>
      <c r="BGQ11" s="236"/>
      <c r="BGR11" s="236"/>
      <c r="BGS11" s="236"/>
      <c r="BGT11" s="236"/>
      <c r="BGU11" s="236"/>
      <c r="BGV11" s="236"/>
      <c r="BGW11" s="236"/>
      <c r="BGX11" s="236"/>
      <c r="BGY11" s="236"/>
      <c r="BGZ11" s="236"/>
      <c r="BHA11" s="236"/>
      <c r="BHB11" s="236"/>
      <c r="BHC11" s="236"/>
      <c r="BHD11" s="236"/>
      <c r="BHE11" s="236"/>
      <c r="BHF11" s="236" t="s">
        <v>108</v>
      </c>
      <c r="BHG11" s="236"/>
      <c r="BHH11" s="236"/>
      <c r="BHI11" s="236"/>
      <c r="BHJ11" s="236"/>
      <c r="BHK11" s="236"/>
      <c r="BHL11" s="236"/>
      <c r="BHM11" s="236"/>
      <c r="BHN11" s="236"/>
      <c r="BHO11" s="236"/>
      <c r="BHP11" s="236"/>
      <c r="BHQ11" s="236"/>
      <c r="BHR11" s="236"/>
      <c r="BHS11" s="236"/>
      <c r="BHT11" s="236"/>
      <c r="BHU11" s="236"/>
      <c r="BHV11" s="236"/>
      <c r="BHW11" s="236"/>
      <c r="BHX11" s="236"/>
      <c r="BHY11" s="236"/>
      <c r="BHZ11" s="236"/>
      <c r="BIA11" s="236"/>
      <c r="BIB11" s="236"/>
      <c r="BIC11" s="236"/>
      <c r="BID11" s="236"/>
      <c r="BIE11" s="236"/>
      <c r="BIF11" s="236"/>
      <c r="BIG11" s="236"/>
      <c r="BIH11" s="236"/>
      <c r="BII11" s="236"/>
      <c r="BIJ11" s="236"/>
      <c r="BIK11" s="236"/>
      <c r="BIL11" s="236"/>
      <c r="BIM11" s="236"/>
      <c r="BIN11" s="236"/>
      <c r="BIO11" s="236"/>
      <c r="BIP11" s="236"/>
      <c r="BIQ11" s="236"/>
      <c r="BIR11" s="236"/>
      <c r="BIS11" s="236"/>
      <c r="BIT11" s="236"/>
      <c r="BIU11" s="236"/>
      <c r="BIV11" s="236"/>
      <c r="BIW11" s="236"/>
      <c r="BIX11" s="236"/>
      <c r="BIY11" s="236"/>
      <c r="BIZ11" s="236"/>
      <c r="BJA11" s="236"/>
      <c r="BJB11" s="236"/>
      <c r="BJC11" s="236"/>
      <c r="BJD11" s="236"/>
      <c r="BJE11" s="236"/>
      <c r="BJF11" s="236"/>
      <c r="BJG11" s="236"/>
      <c r="BJH11" s="236"/>
      <c r="BJI11" s="236"/>
      <c r="BJJ11" s="236"/>
      <c r="BJK11" s="236"/>
      <c r="BJL11" s="236"/>
      <c r="BJM11" s="236"/>
    </row>
    <row r="12" spans="1:1625" ht="49.5" customHeight="1" thickBot="1" x14ac:dyDescent="0.3">
      <c r="B12" s="143"/>
      <c r="C12" s="238"/>
      <c r="D12" s="238"/>
      <c r="E12" s="238"/>
      <c r="F12" s="244" t="s">
        <v>78</v>
      </c>
      <c r="G12" s="244"/>
      <c r="H12" s="244"/>
      <c r="I12" s="244"/>
      <c r="J12" s="244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4"/>
      <c r="AB12" s="244"/>
      <c r="AC12" s="244"/>
      <c r="AD12" s="244"/>
      <c r="AE12" s="244"/>
      <c r="AF12" s="244"/>
      <c r="AG12" s="244"/>
      <c r="AH12" s="244"/>
      <c r="AI12" s="244"/>
      <c r="AJ12" s="244"/>
      <c r="AK12" s="244"/>
      <c r="AL12" s="244"/>
      <c r="AM12" s="244"/>
      <c r="AN12" s="244"/>
      <c r="AO12" s="244"/>
      <c r="AP12" s="244"/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244"/>
      <c r="BK12" s="244"/>
      <c r="BL12" s="244"/>
      <c r="BM12" s="244"/>
      <c r="BN12" s="244" t="s">
        <v>79</v>
      </c>
      <c r="BO12" s="244"/>
      <c r="BP12" s="244"/>
      <c r="BQ12" s="244"/>
      <c r="BR12" s="244"/>
      <c r="BS12" s="244"/>
      <c r="BT12" s="244"/>
      <c r="BU12" s="244"/>
      <c r="BV12" s="244"/>
      <c r="BW12" s="244"/>
      <c r="BX12" s="244"/>
      <c r="BY12" s="244"/>
      <c r="BZ12" s="244"/>
      <c r="CA12" s="244"/>
      <c r="CB12" s="244"/>
      <c r="CC12" s="244"/>
      <c r="CD12" s="244"/>
      <c r="CE12" s="244"/>
      <c r="CF12" s="244"/>
      <c r="CG12" s="244"/>
      <c r="CH12" s="244"/>
      <c r="CI12" s="244"/>
      <c r="CJ12" s="244"/>
      <c r="CK12" s="244"/>
      <c r="CL12" s="244"/>
      <c r="CM12" s="244"/>
      <c r="CN12" s="244"/>
      <c r="CO12" s="244"/>
      <c r="CP12" s="244"/>
      <c r="CQ12" s="244"/>
      <c r="CR12" s="244"/>
      <c r="CS12" s="244"/>
      <c r="CT12" s="244"/>
      <c r="CU12" s="244"/>
      <c r="CV12" s="244"/>
      <c r="CW12" s="244"/>
      <c r="CX12" s="244"/>
      <c r="CY12" s="244"/>
      <c r="CZ12" s="244"/>
      <c r="DA12" s="244"/>
      <c r="DB12" s="244"/>
      <c r="DC12" s="244"/>
      <c r="DD12" s="244"/>
      <c r="DE12" s="244"/>
      <c r="DF12" s="244"/>
      <c r="DG12" s="244"/>
      <c r="DH12" s="244"/>
      <c r="DI12" s="244"/>
      <c r="DJ12" s="244"/>
      <c r="DK12" s="244"/>
      <c r="DL12" s="244"/>
      <c r="DM12" s="244"/>
      <c r="DN12" s="244"/>
      <c r="DO12" s="244"/>
      <c r="DP12" s="244"/>
      <c r="DQ12" s="244"/>
      <c r="DR12" s="244"/>
      <c r="DS12" s="244"/>
      <c r="DT12" s="244"/>
      <c r="DU12" s="244"/>
      <c r="DV12" s="245" t="s">
        <v>78</v>
      </c>
      <c r="DW12" s="245"/>
      <c r="DX12" s="245"/>
      <c r="DY12" s="245"/>
      <c r="DZ12" s="245"/>
      <c r="EA12" s="245"/>
      <c r="EB12" s="245"/>
      <c r="EC12" s="245"/>
      <c r="ED12" s="245"/>
      <c r="EE12" s="245"/>
      <c r="EF12" s="245"/>
      <c r="EG12" s="245"/>
      <c r="EH12" s="245"/>
      <c r="EI12" s="245"/>
      <c r="EJ12" s="245"/>
      <c r="EK12" s="245"/>
      <c r="EL12" s="245"/>
      <c r="EM12" s="245"/>
      <c r="EN12" s="245"/>
      <c r="EO12" s="245"/>
      <c r="EP12" s="245"/>
      <c r="EQ12" s="245"/>
      <c r="ER12" s="245"/>
      <c r="ES12" s="245"/>
      <c r="ET12" s="245"/>
      <c r="EU12" s="245"/>
      <c r="EV12" s="245"/>
      <c r="EW12" s="245"/>
      <c r="EX12" s="245"/>
      <c r="EY12" s="245"/>
      <c r="EZ12" s="245"/>
      <c r="FA12" s="245"/>
      <c r="FB12" s="245"/>
      <c r="FC12" s="245"/>
      <c r="FD12" s="245"/>
      <c r="FE12" s="245"/>
      <c r="FF12" s="245"/>
      <c r="FG12" s="245"/>
      <c r="FH12" s="245"/>
      <c r="FI12" s="245"/>
      <c r="FJ12" s="245"/>
      <c r="FK12" s="245"/>
      <c r="FL12" s="245"/>
      <c r="FM12" s="245"/>
      <c r="FN12" s="245"/>
      <c r="FO12" s="245"/>
      <c r="FP12" s="245"/>
      <c r="FQ12" s="245"/>
      <c r="FR12" s="245"/>
      <c r="FS12" s="245"/>
      <c r="FT12" s="245"/>
      <c r="FU12" s="245"/>
      <c r="FV12" s="245"/>
      <c r="FW12" s="245"/>
      <c r="FX12" s="245"/>
      <c r="FY12" s="245"/>
      <c r="FZ12" s="245"/>
      <c r="GA12" s="245"/>
      <c r="GB12" s="245"/>
      <c r="GC12" s="245"/>
      <c r="GD12" s="235" t="s">
        <v>79</v>
      </c>
      <c r="GE12" s="235"/>
      <c r="GF12" s="235"/>
      <c r="GG12" s="235"/>
      <c r="GH12" s="235"/>
      <c r="GI12" s="235"/>
      <c r="GJ12" s="235"/>
      <c r="GK12" s="235"/>
      <c r="GL12" s="235"/>
      <c r="GM12" s="235"/>
      <c r="GN12" s="235"/>
      <c r="GO12" s="235"/>
      <c r="GP12" s="235"/>
      <c r="GQ12" s="235"/>
      <c r="GR12" s="235"/>
      <c r="GS12" s="235"/>
      <c r="GT12" s="235"/>
      <c r="GU12" s="235"/>
      <c r="GV12" s="235"/>
      <c r="GW12" s="235"/>
      <c r="GX12" s="235"/>
      <c r="GY12" s="235"/>
      <c r="GZ12" s="235"/>
      <c r="HA12" s="235"/>
      <c r="HB12" s="235"/>
      <c r="HC12" s="235"/>
      <c r="HD12" s="235"/>
      <c r="HE12" s="235"/>
      <c r="HF12" s="235"/>
      <c r="HG12" s="235"/>
      <c r="HH12" s="235"/>
      <c r="HI12" s="235"/>
      <c r="HJ12" s="235"/>
      <c r="HK12" s="235"/>
      <c r="HL12" s="235"/>
      <c r="HM12" s="235"/>
      <c r="HN12" s="235"/>
      <c r="HO12" s="235"/>
      <c r="HP12" s="235"/>
      <c r="HQ12" s="235"/>
      <c r="HR12" s="235"/>
      <c r="HS12" s="235"/>
      <c r="HT12" s="235"/>
      <c r="HU12" s="235"/>
      <c r="HV12" s="235"/>
      <c r="HW12" s="235"/>
      <c r="HX12" s="235"/>
      <c r="HY12" s="235"/>
      <c r="HZ12" s="235"/>
      <c r="IA12" s="235"/>
      <c r="IB12" s="235"/>
      <c r="IC12" s="235"/>
      <c r="ID12" s="235"/>
      <c r="IE12" s="235"/>
      <c r="IF12" s="235"/>
      <c r="IG12" s="235"/>
      <c r="IH12" s="235"/>
      <c r="II12" s="235"/>
      <c r="IJ12" s="235"/>
      <c r="IK12" s="235"/>
      <c r="IL12" s="235" t="s">
        <v>78</v>
      </c>
      <c r="IM12" s="235"/>
      <c r="IN12" s="235"/>
      <c r="IO12" s="235"/>
      <c r="IP12" s="235"/>
      <c r="IQ12" s="235"/>
      <c r="IR12" s="235"/>
      <c r="IS12" s="235"/>
      <c r="IT12" s="235"/>
      <c r="IU12" s="235"/>
      <c r="IV12" s="235"/>
      <c r="IW12" s="235"/>
      <c r="IX12" s="235"/>
      <c r="IY12" s="235"/>
      <c r="IZ12" s="235"/>
      <c r="JA12" s="235"/>
      <c r="JB12" s="235"/>
      <c r="JC12" s="235"/>
      <c r="JD12" s="235"/>
      <c r="JE12" s="235"/>
      <c r="JF12" s="235"/>
      <c r="JG12" s="235"/>
      <c r="JH12" s="235"/>
      <c r="JI12" s="235"/>
      <c r="JJ12" s="235"/>
      <c r="JK12" s="235"/>
      <c r="JL12" s="235"/>
      <c r="JM12" s="235"/>
      <c r="JN12" s="235"/>
      <c r="JO12" s="235"/>
      <c r="JP12" s="235"/>
      <c r="JQ12" s="235"/>
      <c r="JR12" s="235"/>
      <c r="JS12" s="235"/>
      <c r="JT12" s="235"/>
      <c r="JU12" s="235"/>
      <c r="JV12" s="235"/>
      <c r="JW12" s="235"/>
      <c r="JX12" s="235"/>
      <c r="JY12" s="235"/>
      <c r="JZ12" s="235"/>
      <c r="KA12" s="235"/>
      <c r="KB12" s="235"/>
      <c r="KC12" s="235"/>
      <c r="KD12" s="235"/>
      <c r="KE12" s="235"/>
      <c r="KF12" s="235"/>
      <c r="KG12" s="235"/>
      <c r="KH12" s="235"/>
      <c r="KI12" s="235"/>
      <c r="KJ12" s="235"/>
      <c r="KK12" s="235"/>
      <c r="KL12" s="235"/>
      <c r="KM12" s="235"/>
      <c r="KN12" s="235"/>
      <c r="KO12" s="235"/>
      <c r="KP12" s="235"/>
      <c r="KQ12" s="235"/>
      <c r="KR12" s="235"/>
      <c r="KS12" s="235"/>
      <c r="KT12" s="235" t="s">
        <v>79</v>
      </c>
      <c r="KU12" s="235"/>
      <c r="KV12" s="235"/>
      <c r="KW12" s="235"/>
      <c r="KX12" s="235"/>
      <c r="KY12" s="235"/>
      <c r="KZ12" s="235"/>
      <c r="LA12" s="235"/>
      <c r="LB12" s="235"/>
      <c r="LC12" s="235"/>
      <c r="LD12" s="235"/>
      <c r="LE12" s="235"/>
      <c r="LF12" s="235"/>
      <c r="LG12" s="235"/>
      <c r="LH12" s="235"/>
      <c r="LI12" s="235"/>
      <c r="LJ12" s="235"/>
      <c r="LK12" s="235"/>
      <c r="LL12" s="235"/>
      <c r="LM12" s="235"/>
      <c r="LN12" s="235"/>
      <c r="LO12" s="235"/>
      <c r="LP12" s="235"/>
      <c r="LQ12" s="235"/>
      <c r="LR12" s="235"/>
      <c r="LS12" s="235"/>
      <c r="LT12" s="235"/>
      <c r="LU12" s="235"/>
      <c r="LV12" s="235"/>
      <c r="LW12" s="235"/>
      <c r="LX12" s="235"/>
      <c r="LY12" s="235"/>
      <c r="LZ12" s="235"/>
      <c r="MA12" s="235"/>
      <c r="MB12" s="235"/>
      <c r="MC12" s="235"/>
      <c r="MD12" s="235"/>
      <c r="ME12" s="235"/>
      <c r="MF12" s="235"/>
      <c r="MG12" s="235"/>
      <c r="MH12" s="235"/>
      <c r="MI12" s="235"/>
      <c r="MJ12" s="235"/>
      <c r="MK12" s="235"/>
      <c r="ML12" s="235"/>
      <c r="MM12" s="235"/>
      <c r="MN12" s="235"/>
      <c r="MO12" s="235"/>
      <c r="MP12" s="235"/>
      <c r="MQ12" s="235"/>
      <c r="MR12" s="235"/>
      <c r="MS12" s="235"/>
      <c r="MT12" s="235"/>
      <c r="MU12" s="235"/>
      <c r="MV12" s="235"/>
      <c r="MW12" s="235"/>
      <c r="MX12" s="235"/>
      <c r="MY12" s="235"/>
      <c r="MZ12" s="235"/>
      <c r="NA12" s="235"/>
      <c r="NB12" s="235" t="s">
        <v>79</v>
      </c>
      <c r="NC12" s="235"/>
      <c r="ND12" s="235"/>
      <c r="NE12" s="235"/>
      <c r="NF12" s="235"/>
      <c r="NG12" s="235"/>
      <c r="NH12" s="235"/>
      <c r="NI12" s="235"/>
      <c r="NJ12" s="235"/>
      <c r="NK12" s="235"/>
      <c r="NL12" s="235"/>
      <c r="NM12" s="235"/>
      <c r="NN12" s="235"/>
      <c r="NO12" s="235"/>
      <c r="NP12" s="235"/>
      <c r="NQ12" s="235"/>
      <c r="NR12" s="235"/>
      <c r="NS12" s="235"/>
      <c r="NT12" s="235"/>
      <c r="NU12" s="235"/>
      <c r="NV12" s="235"/>
      <c r="NW12" s="235"/>
      <c r="NX12" s="235"/>
      <c r="NY12" s="235"/>
      <c r="NZ12" s="235"/>
      <c r="OA12" s="235"/>
      <c r="OB12" s="235"/>
      <c r="OC12" s="235"/>
      <c r="OD12" s="235"/>
      <c r="OE12" s="235"/>
      <c r="OF12" s="235"/>
      <c r="OG12" s="235"/>
      <c r="OH12" s="235"/>
      <c r="OI12" s="235"/>
      <c r="OJ12" s="235"/>
      <c r="OK12" s="235"/>
      <c r="OL12" s="235"/>
      <c r="OM12" s="235"/>
      <c r="ON12" s="235"/>
      <c r="OO12" s="235"/>
      <c r="OP12" s="235"/>
      <c r="OQ12" s="235"/>
      <c r="OR12" s="235"/>
      <c r="OS12" s="235"/>
      <c r="OT12" s="235"/>
      <c r="OU12" s="235"/>
      <c r="OV12" s="235"/>
      <c r="OW12" s="235"/>
      <c r="OX12" s="235"/>
      <c r="OY12" s="235"/>
      <c r="OZ12" s="235"/>
      <c r="PA12" s="235"/>
      <c r="PB12" s="235"/>
      <c r="PC12" s="235"/>
      <c r="PD12" s="235"/>
      <c r="PE12" s="235"/>
      <c r="PF12" s="235"/>
      <c r="PG12" s="235"/>
      <c r="PH12" s="235"/>
      <c r="PI12" s="235"/>
      <c r="PJ12" s="235" t="s">
        <v>78</v>
      </c>
      <c r="PK12" s="235"/>
      <c r="PL12" s="235"/>
      <c r="PM12" s="235"/>
      <c r="PN12" s="235"/>
      <c r="PO12" s="235"/>
      <c r="PP12" s="235"/>
      <c r="PQ12" s="235"/>
      <c r="PR12" s="235"/>
      <c r="PS12" s="235"/>
      <c r="PT12" s="235"/>
      <c r="PU12" s="235"/>
      <c r="PV12" s="235"/>
      <c r="PW12" s="235"/>
      <c r="PX12" s="235"/>
      <c r="PY12" s="235"/>
      <c r="PZ12" s="235"/>
      <c r="QA12" s="235"/>
      <c r="QB12" s="235"/>
      <c r="QC12" s="235"/>
      <c r="QD12" s="235"/>
      <c r="QE12" s="235"/>
      <c r="QF12" s="235"/>
      <c r="QG12" s="235"/>
      <c r="QH12" s="235"/>
      <c r="QI12" s="235"/>
      <c r="QJ12" s="235"/>
      <c r="QK12" s="235"/>
      <c r="QL12" s="235"/>
      <c r="QM12" s="235"/>
      <c r="QN12" s="235"/>
      <c r="QO12" s="235"/>
      <c r="QP12" s="235"/>
      <c r="QQ12" s="235"/>
      <c r="QR12" s="235"/>
      <c r="QS12" s="235"/>
      <c r="QT12" s="235"/>
      <c r="QU12" s="235"/>
      <c r="QV12" s="235"/>
      <c r="QW12" s="235"/>
      <c r="QX12" s="235"/>
      <c r="QY12" s="235"/>
      <c r="QZ12" s="235"/>
      <c r="RA12" s="235"/>
      <c r="RB12" s="235"/>
      <c r="RC12" s="235"/>
      <c r="RD12" s="235"/>
      <c r="RE12" s="235"/>
      <c r="RF12" s="235"/>
      <c r="RG12" s="235"/>
      <c r="RH12" s="235"/>
      <c r="RI12" s="235"/>
      <c r="RJ12" s="235"/>
      <c r="RK12" s="235"/>
      <c r="RL12" s="235"/>
      <c r="RM12" s="235"/>
      <c r="RN12" s="235"/>
      <c r="RO12" s="235"/>
      <c r="RP12" s="235"/>
      <c r="RQ12" s="235"/>
      <c r="RR12" s="235" t="s">
        <v>79</v>
      </c>
      <c r="RS12" s="235"/>
      <c r="RT12" s="235"/>
      <c r="RU12" s="235"/>
      <c r="RV12" s="235"/>
      <c r="RW12" s="235"/>
      <c r="RX12" s="235"/>
      <c r="RY12" s="235"/>
      <c r="RZ12" s="235"/>
      <c r="SA12" s="235"/>
      <c r="SB12" s="235"/>
      <c r="SC12" s="235"/>
      <c r="SD12" s="235"/>
      <c r="SE12" s="235"/>
      <c r="SF12" s="235"/>
      <c r="SG12" s="235"/>
      <c r="SH12" s="235"/>
      <c r="SI12" s="235"/>
      <c r="SJ12" s="235"/>
      <c r="SK12" s="235"/>
      <c r="SL12" s="235"/>
      <c r="SM12" s="235"/>
      <c r="SN12" s="235"/>
      <c r="SO12" s="235"/>
      <c r="SP12" s="235"/>
      <c r="SQ12" s="235"/>
      <c r="SR12" s="235"/>
      <c r="SS12" s="235"/>
      <c r="ST12" s="235"/>
      <c r="SU12" s="235"/>
      <c r="SV12" s="235"/>
      <c r="SW12" s="235"/>
      <c r="SX12" s="235"/>
      <c r="SY12" s="235"/>
      <c r="SZ12" s="235"/>
      <c r="TA12" s="235"/>
      <c r="TB12" s="235"/>
      <c r="TC12" s="235"/>
      <c r="TD12" s="235"/>
      <c r="TE12" s="235"/>
      <c r="TF12" s="235"/>
      <c r="TG12" s="235"/>
      <c r="TH12" s="235"/>
      <c r="TI12" s="235"/>
      <c r="TJ12" s="235"/>
      <c r="TK12" s="235"/>
      <c r="TL12" s="235"/>
      <c r="TM12" s="235"/>
      <c r="TN12" s="235"/>
      <c r="TO12" s="235"/>
      <c r="TP12" s="235"/>
      <c r="TQ12" s="235"/>
      <c r="TR12" s="235"/>
      <c r="TS12" s="235"/>
      <c r="TT12" s="235"/>
      <c r="TU12" s="235"/>
      <c r="TV12" s="235"/>
      <c r="TW12" s="235"/>
      <c r="TX12" s="235"/>
      <c r="TY12" s="235"/>
      <c r="TZ12" s="235" t="s">
        <v>78</v>
      </c>
      <c r="UA12" s="235"/>
      <c r="UB12" s="235"/>
      <c r="UC12" s="235"/>
      <c r="UD12" s="235"/>
      <c r="UE12" s="235"/>
      <c r="UF12" s="235"/>
      <c r="UG12" s="235"/>
      <c r="UH12" s="235"/>
      <c r="UI12" s="235"/>
      <c r="UJ12" s="235"/>
      <c r="UK12" s="235"/>
      <c r="UL12" s="235"/>
      <c r="UM12" s="235"/>
      <c r="UN12" s="235"/>
      <c r="UO12" s="235"/>
      <c r="UP12" s="235"/>
      <c r="UQ12" s="235"/>
      <c r="UR12" s="235"/>
      <c r="US12" s="235"/>
      <c r="UT12" s="235"/>
      <c r="UU12" s="235"/>
      <c r="UV12" s="235"/>
      <c r="UW12" s="235"/>
      <c r="UX12" s="235"/>
      <c r="UY12" s="235"/>
      <c r="UZ12" s="235"/>
      <c r="VA12" s="235"/>
      <c r="VB12" s="235"/>
      <c r="VC12" s="235"/>
      <c r="VD12" s="235"/>
      <c r="VE12" s="235"/>
      <c r="VF12" s="235"/>
      <c r="VG12" s="235"/>
      <c r="VH12" s="235"/>
      <c r="VI12" s="235"/>
      <c r="VJ12" s="235"/>
      <c r="VK12" s="235"/>
      <c r="VL12" s="235"/>
      <c r="VM12" s="235"/>
      <c r="VN12" s="235"/>
      <c r="VO12" s="235"/>
      <c r="VP12" s="235"/>
      <c r="VQ12" s="235"/>
      <c r="VR12" s="235"/>
      <c r="VS12" s="235"/>
      <c r="VT12" s="235"/>
      <c r="VU12" s="235"/>
      <c r="VV12" s="235"/>
      <c r="VW12" s="235"/>
      <c r="VX12" s="235"/>
      <c r="VY12" s="235"/>
      <c r="VZ12" s="235"/>
      <c r="WA12" s="235"/>
      <c r="WB12" s="235"/>
      <c r="WC12" s="235"/>
      <c r="WD12" s="235"/>
      <c r="WE12" s="235"/>
      <c r="WF12" s="235"/>
      <c r="WG12" s="235"/>
      <c r="WH12" s="235" t="s">
        <v>79</v>
      </c>
      <c r="WI12" s="235"/>
      <c r="WJ12" s="235"/>
      <c r="WK12" s="235"/>
      <c r="WL12" s="235"/>
      <c r="WM12" s="235"/>
      <c r="WN12" s="235"/>
      <c r="WO12" s="235"/>
      <c r="WP12" s="235"/>
      <c r="WQ12" s="235"/>
      <c r="WR12" s="235"/>
      <c r="WS12" s="235"/>
      <c r="WT12" s="235"/>
      <c r="WU12" s="235"/>
      <c r="WV12" s="235"/>
      <c r="WW12" s="235"/>
      <c r="WX12" s="235"/>
      <c r="WY12" s="235"/>
      <c r="WZ12" s="235"/>
      <c r="XA12" s="235"/>
      <c r="XB12" s="235"/>
      <c r="XC12" s="235"/>
      <c r="XD12" s="235"/>
      <c r="XE12" s="235"/>
      <c r="XF12" s="235"/>
      <c r="XG12" s="235"/>
      <c r="XH12" s="235"/>
      <c r="XI12" s="235"/>
      <c r="XJ12" s="235"/>
      <c r="XK12" s="235"/>
      <c r="XL12" s="235"/>
      <c r="XM12" s="235"/>
      <c r="XN12" s="235"/>
      <c r="XO12" s="235"/>
      <c r="XP12" s="235"/>
      <c r="XQ12" s="235"/>
      <c r="XR12" s="235"/>
      <c r="XS12" s="235"/>
      <c r="XT12" s="235"/>
      <c r="XU12" s="235"/>
      <c r="XV12" s="235"/>
      <c r="XW12" s="235"/>
      <c r="XX12" s="235"/>
      <c r="XY12" s="235"/>
      <c r="XZ12" s="235"/>
      <c r="YA12" s="235"/>
      <c r="YB12" s="235"/>
      <c r="YC12" s="235"/>
      <c r="YD12" s="235"/>
      <c r="YE12" s="235"/>
      <c r="YF12" s="235"/>
      <c r="YG12" s="235"/>
      <c r="YH12" s="235"/>
      <c r="YI12" s="235"/>
      <c r="YJ12" s="235"/>
      <c r="YK12" s="235"/>
      <c r="YL12" s="235"/>
      <c r="YM12" s="235"/>
      <c r="YN12" s="235"/>
      <c r="YO12" s="235"/>
      <c r="YP12" s="235" t="s">
        <v>78</v>
      </c>
      <c r="YQ12" s="235"/>
      <c r="YR12" s="235"/>
      <c r="YS12" s="235"/>
      <c r="YT12" s="235"/>
      <c r="YU12" s="235"/>
      <c r="YV12" s="235"/>
      <c r="YW12" s="235"/>
      <c r="YX12" s="235"/>
      <c r="YY12" s="235"/>
      <c r="YZ12" s="235"/>
      <c r="ZA12" s="235"/>
      <c r="ZB12" s="235"/>
      <c r="ZC12" s="235"/>
      <c r="ZD12" s="235"/>
      <c r="ZE12" s="235"/>
      <c r="ZF12" s="235"/>
      <c r="ZG12" s="235"/>
      <c r="ZH12" s="235"/>
      <c r="ZI12" s="235"/>
      <c r="ZJ12" s="235"/>
      <c r="ZK12" s="235"/>
      <c r="ZL12" s="235"/>
      <c r="ZM12" s="235"/>
      <c r="ZN12" s="235"/>
      <c r="ZO12" s="235"/>
      <c r="ZP12" s="235"/>
      <c r="ZQ12" s="235"/>
      <c r="ZR12" s="235"/>
      <c r="ZS12" s="235"/>
      <c r="ZT12" s="235"/>
      <c r="ZU12" s="235"/>
      <c r="ZV12" s="235"/>
      <c r="ZW12" s="235"/>
      <c r="ZX12" s="235"/>
      <c r="ZY12" s="235"/>
      <c r="ZZ12" s="235"/>
      <c r="AAA12" s="235"/>
      <c r="AAB12" s="235"/>
      <c r="AAC12" s="235"/>
      <c r="AAD12" s="235"/>
      <c r="AAE12" s="235"/>
      <c r="AAF12" s="235"/>
      <c r="AAG12" s="235"/>
      <c r="AAH12" s="235"/>
      <c r="AAI12" s="235"/>
      <c r="AAJ12" s="235"/>
      <c r="AAK12" s="235"/>
      <c r="AAL12" s="235"/>
      <c r="AAM12" s="235"/>
      <c r="AAN12" s="235"/>
      <c r="AAO12" s="235"/>
      <c r="AAP12" s="235"/>
      <c r="AAQ12" s="235"/>
      <c r="AAR12" s="235"/>
      <c r="AAS12" s="235"/>
      <c r="AAT12" s="235"/>
      <c r="AAU12" s="235"/>
      <c r="AAV12" s="235"/>
      <c r="AAW12" s="235"/>
      <c r="AAX12" s="235" t="s">
        <v>79</v>
      </c>
      <c r="AAY12" s="235"/>
      <c r="AAZ12" s="235"/>
      <c r="ABA12" s="235"/>
      <c r="ABB12" s="235"/>
      <c r="ABC12" s="235"/>
      <c r="ABD12" s="235"/>
      <c r="ABE12" s="235"/>
      <c r="ABF12" s="235"/>
      <c r="ABG12" s="235"/>
      <c r="ABH12" s="235"/>
      <c r="ABI12" s="235"/>
      <c r="ABJ12" s="235"/>
      <c r="ABK12" s="235"/>
      <c r="ABL12" s="235"/>
      <c r="ABM12" s="235"/>
      <c r="ABN12" s="235"/>
      <c r="ABO12" s="235"/>
      <c r="ABP12" s="235"/>
      <c r="ABQ12" s="235"/>
      <c r="ABR12" s="235"/>
      <c r="ABS12" s="235"/>
      <c r="ABT12" s="235"/>
      <c r="ABU12" s="235"/>
      <c r="ABV12" s="235"/>
      <c r="ABW12" s="235"/>
      <c r="ABX12" s="235"/>
      <c r="ABY12" s="235"/>
      <c r="ABZ12" s="235"/>
      <c r="ACA12" s="235"/>
      <c r="ACB12" s="235"/>
      <c r="ACC12" s="235"/>
      <c r="ACD12" s="235"/>
      <c r="ACE12" s="235"/>
      <c r="ACF12" s="235"/>
      <c r="ACG12" s="235"/>
      <c r="ACH12" s="235"/>
      <c r="ACI12" s="235"/>
      <c r="ACJ12" s="235"/>
      <c r="ACK12" s="235"/>
      <c r="ACL12" s="235"/>
      <c r="ACM12" s="235"/>
      <c r="ACN12" s="235"/>
      <c r="ACO12" s="235"/>
      <c r="ACP12" s="235"/>
      <c r="ACQ12" s="235"/>
      <c r="ACR12" s="235"/>
      <c r="ACS12" s="235"/>
      <c r="ACT12" s="235"/>
      <c r="ACU12" s="235"/>
      <c r="ACV12" s="235"/>
      <c r="ACW12" s="235"/>
      <c r="ACX12" s="235"/>
      <c r="ACY12" s="235"/>
      <c r="ACZ12" s="235"/>
      <c r="ADA12" s="235"/>
      <c r="ADB12" s="235"/>
      <c r="ADC12" s="235"/>
      <c r="ADD12" s="235"/>
      <c r="ADE12" s="235"/>
      <c r="ADF12" s="235" t="s">
        <v>79</v>
      </c>
      <c r="ADG12" s="235"/>
      <c r="ADH12" s="235"/>
      <c r="ADI12" s="235"/>
      <c r="ADJ12" s="235"/>
      <c r="ADK12" s="235"/>
      <c r="ADL12" s="235"/>
      <c r="ADM12" s="235"/>
      <c r="ADN12" s="235"/>
      <c r="ADO12" s="235"/>
      <c r="ADP12" s="235"/>
      <c r="ADQ12" s="235"/>
      <c r="ADR12" s="235"/>
      <c r="ADS12" s="235"/>
      <c r="ADT12" s="235"/>
      <c r="ADU12" s="235"/>
      <c r="ADV12" s="235"/>
      <c r="ADW12" s="235"/>
      <c r="ADX12" s="235"/>
      <c r="ADY12" s="235"/>
      <c r="ADZ12" s="235"/>
      <c r="AEA12" s="235"/>
      <c r="AEB12" s="235"/>
      <c r="AEC12" s="235"/>
      <c r="AED12" s="235"/>
      <c r="AEE12" s="235"/>
      <c r="AEF12" s="235"/>
      <c r="AEG12" s="235"/>
      <c r="AEH12" s="235"/>
      <c r="AEI12" s="235"/>
      <c r="AEJ12" s="235"/>
      <c r="AEK12" s="235"/>
      <c r="AEL12" s="235"/>
      <c r="AEM12" s="235"/>
      <c r="AEN12" s="235"/>
      <c r="AEO12" s="235"/>
      <c r="AEP12" s="235"/>
      <c r="AEQ12" s="235"/>
      <c r="AER12" s="235"/>
      <c r="AES12" s="235"/>
      <c r="AET12" s="235"/>
      <c r="AEU12" s="235"/>
      <c r="AEV12" s="235"/>
      <c r="AEW12" s="235"/>
      <c r="AEX12" s="235"/>
      <c r="AEY12" s="235"/>
      <c r="AEZ12" s="235"/>
      <c r="AFA12" s="235"/>
      <c r="AFB12" s="235"/>
      <c r="AFC12" s="235"/>
      <c r="AFD12" s="235"/>
      <c r="AFE12" s="235"/>
      <c r="AFF12" s="235"/>
      <c r="AFG12" s="235"/>
      <c r="AFH12" s="235"/>
      <c r="AFI12" s="235"/>
      <c r="AFJ12" s="235"/>
      <c r="AFK12" s="235"/>
      <c r="AFL12" s="235"/>
      <c r="AFM12" s="235"/>
      <c r="AFN12" s="235" t="s">
        <v>78</v>
      </c>
      <c r="AFO12" s="235"/>
      <c r="AFP12" s="235"/>
      <c r="AFQ12" s="235"/>
      <c r="AFR12" s="235"/>
      <c r="AFS12" s="235"/>
      <c r="AFT12" s="235"/>
      <c r="AFU12" s="235"/>
      <c r="AFV12" s="235"/>
      <c r="AFW12" s="235"/>
      <c r="AFX12" s="235"/>
      <c r="AFY12" s="235"/>
      <c r="AFZ12" s="235"/>
      <c r="AGA12" s="235"/>
      <c r="AGB12" s="235"/>
      <c r="AGC12" s="235"/>
      <c r="AGD12" s="235"/>
      <c r="AGE12" s="235"/>
      <c r="AGF12" s="235"/>
      <c r="AGG12" s="235"/>
      <c r="AGH12" s="235"/>
      <c r="AGI12" s="235"/>
      <c r="AGJ12" s="235"/>
      <c r="AGK12" s="235"/>
      <c r="AGL12" s="235"/>
      <c r="AGM12" s="235"/>
      <c r="AGN12" s="235"/>
      <c r="AGO12" s="235"/>
      <c r="AGP12" s="235"/>
      <c r="AGQ12" s="235"/>
      <c r="AGR12" s="235"/>
      <c r="AGS12" s="235"/>
      <c r="AGT12" s="235"/>
      <c r="AGU12" s="235"/>
      <c r="AGV12" s="235"/>
      <c r="AGW12" s="235"/>
      <c r="AGX12" s="235"/>
      <c r="AGY12" s="235"/>
      <c r="AGZ12" s="235"/>
      <c r="AHA12" s="235"/>
      <c r="AHB12" s="235"/>
      <c r="AHC12" s="235"/>
      <c r="AHD12" s="235"/>
      <c r="AHE12" s="235"/>
      <c r="AHF12" s="235"/>
      <c r="AHG12" s="235"/>
      <c r="AHH12" s="235"/>
      <c r="AHI12" s="235"/>
      <c r="AHJ12" s="235"/>
      <c r="AHK12" s="235"/>
      <c r="AHL12" s="235"/>
      <c r="AHM12" s="235"/>
      <c r="AHN12" s="235"/>
      <c r="AHO12" s="235"/>
      <c r="AHP12" s="235"/>
      <c r="AHQ12" s="235"/>
      <c r="AHR12" s="235"/>
      <c r="AHS12" s="235"/>
      <c r="AHT12" s="235"/>
      <c r="AHU12" s="235"/>
      <c r="AHV12" s="235" t="s">
        <v>79</v>
      </c>
      <c r="AHW12" s="235"/>
      <c r="AHX12" s="235"/>
      <c r="AHY12" s="235"/>
      <c r="AHZ12" s="235"/>
      <c r="AIA12" s="235"/>
      <c r="AIB12" s="235"/>
      <c r="AIC12" s="235"/>
      <c r="AID12" s="235"/>
      <c r="AIE12" s="235"/>
      <c r="AIF12" s="235"/>
      <c r="AIG12" s="235"/>
      <c r="AIH12" s="235"/>
      <c r="AII12" s="235"/>
      <c r="AIJ12" s="235"/>
      <c r="AIK12" s="235"/>
      <c r="AIL12" s="235"/>
      <c r="AIM12" s="235"/>
      <c r="AIN12" s="235"/>
      <c r="AIO12" s="235"/>
      <c r="AIP12" s="235"/>
      <c r="AIQ12" s="235"/>
      <c r="AIR12" s="235"/>
      <c r="AIS12" s="235"/>
      <c r="AIT12" s="235"/>
      <c r="AIU12" s="235"/>
      <c r="AIV12" s="235"/>
      <c r="AIW12" s="235"/>
      <c r="AIX12" s="235"/>
      <c r="AIY12" s="235"/>
      <c r="AIZ12" s="235"/>
      <c r="AJA12" s="235"/>
      <c r="AJB12" s="235"/>
      <c r="AJC12" s="235"/>
      <c r="AJD12" s="235"/>
      <c r="AJE12" s="235"/>
      <c r="AJF12" s="235"/>
      <c r="AJG12" s="235"/>
      <c r="AJH12" s="235"/>
      <c r="AJI12" s="235"/>
      <c r="AJJ12" s="235"/>
      <c r="AJK12" s="235"/>
      <c r="AJL12" s="235"/>
      <c r="AJM12" s="235"/>
      <c r="AJN12" s="235"/>
      <c r="AJO12" s="235"/>
      <c r="AJP12" s="235"/>
      <c r="AJQ12" s="235"/>
      <c r="AJR12" s="235"/>
      <c r="AJS12" s="235"/>
      <c r="AJT12" s="235"/>
      <c r="AJU12" s="235"/>
      <c r="AJV12" s="235"/>
      <c r="AJW12" s="235"/>
      <c r="AJX12" s="235"/>
      <c r="AJY12" s="235"/>
      <c r="AJZ12" s="235"/>
      <c r="AKA12" s="235"/>
      <c r="AKB12" s="235"/>
      <c r="AKC12" s="235"/>
      <c r="AKD12" s="235" t="s">
        <v>78</v>
      </c>
      <c r="AKE12" s="235"/>
      <c r="AKF12" s="235"/>
      <c r="AKG12" s="235"/>
      <c r="AKH12" s="235"/>
      <c r="AKI12" s="235"/>
      <c r="AKJ12" s="235"/>
      <c r="AKK12" s="235"/>
      <c r="AKL12" s="235"/>
      <c r="AKM12" s="235"/>
      <c r="AKN12" s="235"/>
      <c r="AKO12" s="235"/>
      <c r="AKP12" s="235"/>
      <c r="AKQ12" s="235"/>
      <c r="AKR12" s="235"/>
      <c r="AKS12" s="235"/>
      <c r="AKT12" s="235"/>
      <c r="AKU12" s="235"/>
      <c r="AKV12" s="235"/>
      <c r="AKW12" s="235"/>
      <c r="AKX12" s="235"/>
      <c r="AKY12" s="235"/>
      <c r="AKZ12" s="235"/>
      <c r="ALA12" s="235"/>
      <c r="ALB12" s="235"/>
      <c r="ALC12" s="235"/>
      <c r="ALD12" s="235"/>
      <c r="ALE12" s="235"/>
      <c r="ALF12" s="235"/>
      <c r="ALG12" s="235"/>
      <c r="ALH12" s="235"/>
      <c r="ALI12" s="235"/>
      <c r="ALJ12" s="235"/>
      <c r="ALK12" s="235"/>
      <c r="ALL12" s="235"/>
      <c r="ALM12" s="235"/>
      <c r="ALN12" s="235"/>
      <c r="ALO12" s="235"/>
      <c r="ALP12" s="235"/>
      <c r="ALQ12" s="235"/>
      <c r="ALR12" s="235"/>
      <c r="ALS12" s="235"/>
      <c r="ALT12" s="235"/>
      <c r="ALU12" s="235"/>
      <c r="ALV12" s="235"/>
      <c r="ALW12" s="235"/>
      <c r="ALX12" s="235"/>
      <c r="ALY12" s="235"/>
      <c r="ALZ12" s="235"/>
      <c r="AMA12" s="235"/>
      <c r="AMB12" s="235"/>
      <c r="AMC12" s="235"/>
      <c r="AMD12" s="235"/>
      <c r="AME12" s="235"/>
      <c r="AMF12" s="235"/>
      <c r="AMG12" s="235"/>
      <c r="AMH12" s="235"/>
      <c r="AMI12" s="235"/>
      <c r="AMJ12" s="235"/>
      <c r="AMK12" s="235"/>
      <c r="AML12" s="235" t="s">
        <v>79</v>
      </c>
      <c r="AMM12" s="235"/>
      <c r="AMN12" s="235"/>
      <c r="AMO12" s="235"/>
      <c r="AMP12" s="235"/>
      <c r="AMQ12" s="235"/>
      <c r="AMR12" s="235"/>
      <c r="AMS12" s="235"/>
      <c r="AMT12" s="235"/>
      <c r="AMU12" s="235"/>
      <c r="AMV12" s="235"/>
      <c r="AMW12" s="235"/>
      <c r="AMX12" s="235"/>
      <c r="AMY12" s="235"/>
      <c r="AMZ12" s="235"/>
      <c r="ANA12" s="235"/>
      <c r="ANB12" s="235"/>
      <c r="ANC12" s="235"/>
      <c r="AND12" s="235"/>
      <c r="ANE12" s="235"/>
      <c r="ANF12" s="235"/>
      <c r="ANG12" s="235"/>
      <c r="ANH12" s="235"/>
      <c r="ANI12" s="235"/>
      <c r="ANJ12" s="235"/>
      <c r="ANK12" s="235"/>
      <c r="ANL12" s="235"/>
      <c r="ANM12" s="235"/>
      <c r="ANN12" s="235"/>
      <c r="ANO12" s="235"/>
      <c r="ANP12" s="235"/>
      <c r="ANQ12" s="235"/>
      <c r="ANR12" s="235"/>
      <c r="ANS12" s="235"/>
      <c r="ANT12" s="235"/>
      <c r="ANU12" s="235"/>
      <c r="ANV12" s="235"/>
      <c r="ANW12" s="235"/>
      <c r="ANX12" s="235"/>
      <c r="ANY12" s="235"/>
      <c r="ANZ12" s="235"/>
      <c r="AOA12" s="235"/>
      <c r="AOB12" s="235"/>
      <c r="AOC12" s="235"/>
      <c r="AOD12" s="235"/>
      <c r="AOE12" s="235"/>
      <c r="AOF12" s="235"/>
      <c r="AOG12" s="235"/>
      <c r="AOH12" s="235"/>
      <c r="AOI12" s="235"/>
      <c r="AOJ12" s="235"/>
      <c r="AOK12" s="235"/>
      <c r="AOL12" s="235"/>
      <c r="AOM12" s="235"/>
      <c r="AON12" s="235"/>
      <c r="AOO12" s="235"/>
      <c r="AOP12" s="235"/>
      <c r="AOQ12" s="235"/>
      <c r="AOR12" s="235"/>
      <c r="AOS12" s="235"/>
      <c r="AOT12" s="235" t="s">
        <v>78</v>
      </c>
      <c r="AOU12" s="235"/>
      <c r="AOV12" s="235"/>
      <c r="AOW12" s="235"/>
      <c r="AOX12" s="235"/>
      <c r="AOY12" s="235"/>
      <c r="AOZ12" s="235"/>
      <c r="APA12" s="235"/>
      <c r="APB12" s="235"/>
      <c r="APC12" s="235"/>
      <c r="APD12" s="235"/>
      <c r="APE12" s="235"/>
      <c r="APF12" s="235"/>
      <c r="APG12" s="235"/>
      <c r="APH12" s="235"/>
      <c r="API12" s="235"/>
      <c r="APJ12" s="235"/>
      <c r="APK12" s="235"/>
      <c r="APL12" s="235"/>
      <c r="APM12" s="235"/>
      <c r="APN12" s="235"/>
      <c r="APO12" s="235"/>
      <c r="APP12" s="235"/>
      <c r="APQ12" s="235"/>
      <c r="APR12" s="235"/>
      <c r="APS12" s="235"/>
      <c r="APT12" s="235"/>
      <c r="APU12" s="235"/>
      <c r="APV12" s="235"/>
      <c r="APW12" s="235"/>
      <c r="APX12" s="235"/>
      <c r="APY12" s="235"/>
      <c r="APZ12" s="235"/>
      <c r="AQA12" s="235"/>
      <c r="AQB12" s="235"/>
      <c r="AQC12" s="235"/>
      <c r="AQD12" s="235"/>
      <c r="AQE12" s="235"/>
      <c r="AQF12" s="235"/>
      <c r="AQG12" s="235"/>
      <c r="AQH12" s="235"/>
      <c r="AQI12" s="235"/>
      <c r="AQJ12" s="235"/>
      <c r="AQK12" s="235"/>
      <c r="AQL12" s="235"/>
      <c r="AQM12" s="235"/>
      <c r="AQN12" s="235"/>
      <c r="AQO12" s="235"/>
      <c r="AQP12" s="235"/>
      <c r="AQQ12" s="235"/>
      <c r="AQR12" s="235"/>
      <c r="AQS12" s="235"/>
      <c r="AQT12" s="235"/>
      <c r="AQU12" s="235"/>
      <c r="AQV12" s="235"/>
      <c r="AQW12" s="235"/>
      <c r="AQX12" s="235"/>
      <c r="AQY12" s="235"/>
      <c r="AQZ12" s="235"/>
      <c r="ARA12" s="235"/>
      <c r="ARB12" s="235" t="s">
        <v>79</v>
      </c>
      <c r="ARC12" s="235"/>
      <c r="ARD12" s="235"/>
      <c r="ARE12" s="235"/>
      <c r="ARF12" s="235"/>
      <c r="ARG12" s="235"/>
      <c r="ARH12" s="235"/>
      <c r="ARI12" s="235"/>
      <c r="ARJ12" s="235"/>
      <c r="ARK12" s="235"/>
      <c r="ARL12" s="235"/>
      <c r="ARM12" s="235"/>
      <c r="ARN12" s="235"/>
      <c r="ARO12" s="235"/>
      <c r="ARP12" s="235"/>
      <c r="ARQ12" s="235"/>
      <c r="ARR12" s="235"/>
      <c r="ARS12" s="235"/>
      <c r="ART12" s="235"/>
      <c r="ARU12" s="235"/>
      <c r="ARV12" s="235"/>
      <c r="ARW12" s="235"/>
      <c r="ARX12" s="235"/>
      <c r="ARY12" s="235"/>
      <c r="ARZ12" s="235"/>
      <c r="ASA12" s="235"/>
      <c r="ASB12" s="235"/>
      <c r="ASC12" s="235"/>
      <c r="ASD12" s="235"/>
      <c r="ASE12" s="235"/>
      <c r="ASF12" s="235"/>
      <c r="ASG12" s="235"/>
      <c r="ASH12" s="235"/>
      <c r="ASI12" s="235"/>
      <c r="ASJ12" s="235"/>
      <c r="ASK12" s="235"/>
      <c r="ASL12" s="235"/>
      <c r="ASM12" s="235"/>
      <c r="ASN12" s="235"/>
      <c r="ASO12" s="235"/>
      <c r="ASP12" s="235"/>
      <c r="ASQ12" s="235"/>
      <c r="ASR12" s="235"/>
      <c r="ASS12" s="235"/>
      <c r="AST12" s="235"/>
      <c r="ASU12" s="235"/>
      <c r="ASV12" s="235"/>
      <c r="ASW12" s="235"/>
      <c r="ASX12" s="235"/>
      <c r="ASY12" s="235"/>
      <c r="ASZ12" s="235"/>
      <c r="ATA12" s="235"/>
      <c r="ATB12" s="235"/>
      <c r="ATC12" s="235"/>
      <c r="ATD12" s="235"/>
      <c r="ATE12" s="235"/>
      <c r="ATF12" s="235"/>
      <c r="ATG12" s="235"/>
      <c r="ATH12" s="235"/>
      <c r="ATI12" s="235"/>
      <c r="ATJ12" s="235" t="s">
        <v>79</v>
      </c>
      <c r="ATK12" s="235"/>
      <c r="ATL12" s="235"/>
      <c r="ATM12" s="235"/>
      <c r="ATN12" s="235"/>
      <c r="ATO12" s="235"/>
      <c r="ATP12" s="235"/>
      <c r="ATQ12" s="235"/>
      <c r="ATR12" s="235"/>
      <c r="ATS12" s="235"/>
      <c r="ATT12" s="235"/>
      <c r="ATU12" s="235"/>
      <c r="ATV12" s="235"/>
      <c r="ATW12" s="235"/>
      <c r="ATX12" s="235"/>
      <c r="ATY12" s="235"/>
      <c r="ATZ12" s="235"/>
      <c r="AUA12" s="235"/>
      <c r="AUB12" s="235"/>
      <c r="AUC12" s="235"/>
      <c r="AUD12" s="235"/>
      <c r="AUE12" s="235"/>
      <c r="AUF12" s="235"/>
      <c r="AUG12" s="235"/>
      <c r="AUH12" s="235"/>
      <c r="AUI12" s="235"/>
      <c r="AUJ12" s="235"/>
      <c r="AUK12" s="235"/>
      <c r="AUL12" s="235"/>
      <c r="AUM12" s="235"/>
      <c r="AUN12" s="235"/>
      <c r="AUO12" s="235"/>
      <c r="AUP12" s="235"/>
      <c r="AUQ12" s="235"/>
      <c r="AUR12" s="235"/>
      <c r="AUS12" s="235"/>
      <c r="AUT12" s="235"/>
      <c r="AUU12" s="235"/>
      <c r="AUV12" s="235"/>
      <c r="AUW12" s="235"/>
      <c r="AUX12" s="235"/>
      <c r="AUY12" s="235"/>
      <c r="AUZ12" s="235"/>
      <c r="AVA12" s="235"/>
      <c r="AVB12" s="235"/>
      <c r="AVC12" s="235"/>
      <c r="AVD12" s="235"/>
      <c r="AVE12" s="235"/>
      <c r="AVF12" s="235"/>
      <c r="AVG12" s="235"/>
      <c r="AVH12" s="235"/>
      <c r="AVI12" s="235"/>
      <c r="AVJ12" s="235"/>
      <c r="AVK12" s="235"/>
      <c r="AVL12" s="235"/>
      <c r="AVM12" s="235"/>
      <c r="AVN12" s="235"/>
      <c r="AVO12" s="235"/>
      <c r="AVP12" s="235"/>
      <c r="AVQ12" s="235"/>
      <c r="AVR12" s="235" t="s">
        <v>78</v>
      </c>
      <c r="AVS12" s="235"/>
      <c r="AVT12" s="235"/>
      <c r="AVU12" s="235"/>
      <c r="AVV12" s="235"/>
      <c r="AVW12" s="235"/>
      <c r="AVX12" s="235"/>
      <c r="AVY12" s="235"/>
      <c r="AVZ12" s="235"/>
      <c r="AWA12" s="235"/>
      <c r="AWB12" s="235"/>
      <c r="AWC12" s="235"/>
      <c r="AWD12" s="235"/>
      <c r="AWE12" s="235"/>
      <c r="AWF12" s="235"/>
      <c r="AWG12" s="235"/>
      <c r="AWH12" s="235"/>
      <c r="AWI12" s="235"/>
      <c r="AWJ12" s="235"/>
      <c r="AWK12" s="235"/>
      <c r="AWL12" s="235"/>
      <c r="AWM12" s="235"/>
      <c r="AWN12" s="235"/>
      <c r="AWO12" s="235"/>
      <c r="AWP12" s="235"/>
      <c r="AWQ12" s="235"/>
      <c r="AWR12" s="235"/>
      <c r="AWS12" s="235"/>
      <c r="AWT12" s="235"/>
      <c r="AWU12" s="235"/>
      <c r="AWV12" s="235"/>
      <c r="AWW12" s="235"/>
      <c r="AWX12" s="235"/>
      <c r="AWY12" s="235"/>
      <c r="AWZ12" s="235"/>
      <c r="AXA12" s="235"/>
      <c r="AXB12" s="235"/>
      <c r="AXC12" s="235"/>
      <c r="AXD12" s="235"/>
      <c r="AXE12" s="235"/>
      <c r="AXF12" s="235"/>
      <c r="AXG12" s="235"/>
      <c r="AXH12" s="235"/>
      <c r="AXI12" s="235"/>
      <c r="AXJ12" s="235"/>
      <c r="AXK12" s="235"/>
      <c r="AXL12" s="235"/>
      <c r="AXM12" s="235"/>
      <c r="AXN12" s="235"/>
      <c r="AXO12" s="235"/>
      <c r="AXP12" s="235"/>
      <c r="AXQ12" s="235"/>
      <c r="AXR12" s="235"/>
      <c r="AXS12" s="235"/>
      <c r="AXT12" s="235"/>
      <c r="AXU12" s="235"/>
      <c r="AXV12" s="235"/>
      <c r="AXW12" s="235"/>
      <c r="AXX12" s="235"/>
      <c r="AXY12" s="235"/>
      <c r="AXZ12" s="235" t="s">
        <v>79</v>
      </c>
      <c r="AYA12" s="235"/>
      <c r="AYB12" s="235"/>
      <c r="AYC12" s="235"/>
      <c r="AYD12" s="235"/>
      <c r="AYE12" s="235"/>
      <c r="AYF12" s="235"/>
      <c r="AYG12" s="235"/>
      <c r="AYH12" s="235"/>
      <c r="AYI12" s="235"/>
      <c r="AYJ12" s="235"/>
      <c r="AYK12" s="235"/>
      <c r="AYL12" s="235"/>
      <c r="AYM12" s="235"/>
      <c r="AYN12" s="235"/>
      <c r="AYO12" s="235"/>
      <c r="AYP12" s="235"/>
      <c r="AYQ12" s="235"/>
      <c r="AYR12" s="235"/>
      <c r="AYS12" s="235"/>
      <c r="AYT12" s="235"/>
      <c r="AYU12" s="235"/>
      <c r="AYV12" s="235"/>
      <c r="AYW12" s="235"/>
      <c r="AYX12" s="235"/>
      <c r="AYY12" s="235"/>
      <c r="AYZ12" s="235"/>
      <c r="AZA12" s="235"/>
      <c r="AZB12" s="235"/>
      <c r="AZC12" s="235"/>
      <c r="AZD12" s="235"/>
      <c r="AZE12" s="235"/>
      <c r="AZF12" s="235"/>
      <c r="AZG12" s="235"/>
      <c r="AZH12" s="235"/>
      <c r="AZI12" s="235"/>
      <c r="AZJ12" s="235"/>
      <c r="AZK12" s="235"/>
      <c r="AZL12" s="235"/>
      <c r="AZM12" s="235"/>
      <c r="AZN12" s="235"/>
      <c r="AZO12" s="235"/>
      <c r="AZP12" s="235"/>
      <c r="AZQ12" s="235"/>
      <c r="AZR12" s="235"/>
      <c r="AZS12" s="235"/>
      <c r="AZT12" s="235"/>
      <c r="AZU12" s="235"/>
      <c r="AZV12" s="235"/>
      <c r="AZW12" s="235"/>
      <c r="AZX12" s="235"/>
      <c r="AZY12" s="235"/>
      <c r="AZZ12" s="235"/>
      <c r="BAA12" s="235"/>
      <c r="BAB12" s="235"/>
      <c r="BAC12" s="235"/>
      <c r="BAD12" s="235"/>
      <c r="BAE12" s="235"/>
      <c r="BAF12" s="235"/>
      <c r="BAG12" s="235"/>
      <c r="BAH12" s="235" t="s">
        <v>78</v>
      </c>
      <c r="BAI12" s="235"/>
      <c r="BAJ12" s="235"/>
      <c r="BAK12" s="235"/>
      <c r="BAL12" s="235"/>
      <c r="BAM12" s="235"/>
      <c r="BAN12" s="235"/>
      <c r="BAO12" s="235"/>
      <c r="BAP12" s="235"/>
      <c r="BAQ12" s="235"/>
      <c r="BAR12" s="235"/>
      <c r="BAS12" s="235"/>
      <c r="BAT12" s="235"/>
      <c r="BAU12" s="235"/>
      <c r="BAV12" s="235"/>
      <c r="BAW12" s="235"/>
      <c r="BAX12" s="235"/>
      <c r="BAY12" s="235"/>
      <c r="BAZ12" s="235"/>
      <c r="BBA12" s="235"/>
      <c r="BBB12" s="235"/>
      <c r="BBC12" s="235"/>
      <c r="BBD12" s="235"/>
      <c r="BBE12" s="235"/>
      <c r="BBF12" s="235"/>
      <c r="BBG12" s="235"/>
      <c r="BBH12" s="235"/>
      <c r="BBI12" s="235"/>
      <c r="BBJ12" s="235"/>
      <c r="BBK12" s="235"/>
      <c r="BBL12" s="235"/>
      <c r="BBM12" s="235"/>
      <c r="BBN12" s="235"/>
      <c r="BBO12" s="235"/>
      <c r="BBP12" s="235"/>
      <c r="BBQ12" s="235"/>
      <c r="BBR12" s="235"/>
      <c r="BBS12" s="235"/>
      <c r="BBT12" s="235"/>
      <c r="BBU12" s="235"/>
      <c r="BBV12" s="235"/>
      <c r="BBW12" s="235"/>
      <c r="BBX12" s="235"/>
      <c r="BBY12" s="235"/>
      <c r="BBZ12" s="235"/>
      <c r="BCA12" s="235"/>
      <c r="BCB12" s="235"/>
      <c r="BCC12" s="235"/>
      <c r="BCD12" s="235"/>
      <c r="BCE12" s="235"/>
      <c r="BCF12" s="235"/>
      <c r="BCG12" s="235"/>
      <c r="BCH12" s="235"/>
      <c r="BCI12" s="235"/>
      <c r="BCJ12" s="235"/>
      <c r="BCK12" s="235"/>
      <c r="BCL12" s="235"/>
      <c r="BCM12" s="235"/>
      <c r="BCN12" s="235"/>
      <c r="BCO12" s="235"/>
      <c r="BCP12" s="235" t="s">
        <v>78</v>
      </c>
      <c r="BCQ12" s="235"/>
      <c r="BCR12" s="235"/>
      <c r="BCS12" s="235"/>
      <c r="BCT12" s="235"/>
      <c r="BCU12" s="235"/>
      <c r="BCV12" s="235"/>
      <c r="BCW12" s="235"/>
      <c r="BCX12" s="235"/>
      <c r="BCY12" s="235"/>
      <c r="BCZ12" s="235"/>
      <c r="BDA12" s="235"/>
      <c r="BDB12" s="235"/>
      <c r="BDC12" s="235"/>
      <c r="BDD12" s="235"/>
      <c r="BDE12" s="235"/>
      <c r="BDF12" s="235"/>
      <c r="BDG12" s="235"/>
      <c r="BDH12" s="235"/>
      <c r="BDI12" s="235"/>
      <c r="BDJ12" s="235"/>
      <c r="BDK12" s="235"/>
      <c r="BDL12" s="235"/>
      <c r="BDM12" s="235"/>
      <c r="BDN12" s="235"/>
      <c r="BDO12" s="235"/>
      <c r="BDP12" s="235"/>
      <c r="BDQ12" s="235"/>
      <c r="BDR12" s="235"/>
      <c r="BDS12" s="235"/>
      <c r="BDT12" s="235"/>
      <c r="BDU12" s="235"/>
      <c r="BDV12" s="235"/>
      <c r="BDW12" s="235"/>
      <c r="BDX12" s="235"/>
      <c r="BDY12" s="235"/>
      <c r="BDZ12" s="235"/>
      <c r="BEA12" s="235"/>
      <c r="BEB12" s="235"/>
      <c r="BEC12" s="235"/>
      <c r="BED12" s="235"/>
      <c r="BEE12" s="235"/>
      <c r="BEF12" s="235"/>
      <c r="BEG12" s="235"/>
      <c r="BEH12" s="235"/>
      <c r="BEI12" s="235"/>
      <c r="BEJ12" s="235"/>
      <c r="BEK12" s="235"/>
      <c r="BEL12" s="235"/>
      <c r="BEM12" s="235"/>
      <c r="BEN12" s="235"/>
      <c r="BEO12" s="235"/>
      <c r="BEP12" s="235"/>
      <c r="BEQ12" s="235"/>
      <c r="BER12" s="235"/>
      <c r="BES12" s="235"/>
      <c r="BET12" s="235"/>
      <c r="BEU12" s="235"/>
      <c r="BEV12" s="235"/>
      <c r="BEW12" s="235"/>
      <c r="BEX12" s="235" t="s">
        <v>79</v>
      </c>
      <c r="BEY12" s="235"/>
      <c r="BEZ12" s="235"/>
      <c r="BFA12" s="235"/>
      <c r="BFB12" s="235"/>
      <c r="BFC12" s="235"/>
      <c r="BFD12" s="235"/>
      <c r="BFE12" s="235"/>
      <c r="BFF12" s="235"/>
      <c r="BFG12" s="235"/>
      <c r="BFH12" s="235"/>
      <c r="BFI12" s="235"/>
      <c r="BFJ12" s="235"/>
      <c r="BFK12" s="235"/>
      <c r="BFL12" s="235"/>
      <c r="BFM12" s="235"/>
      <c r="BFN12" s="235"/>
      <c r="BFO12" s="235"/>
      <c r="BFP12" s="235"/>
      <c r="BFQ12" s="235"/>
      <c r="BFR12" s="235"/>
      <c r="BFS12" s="235"/>
      <c r="BFT12" s="235"/>
      <c r="BFU12" s="235"/>
      <c r="BFV12" s="235"/>
      <c r="BFW12" s="235"/>
      <c r="BFX12" s="235"/>
      <c r="BFY12" s="235"/>
      <c r="BFZ12" s="235"/>
      <c r="BGA12" s="235"/>
      <c r="BGB12" s="235"/>
      <c r="BGC12" s="235"/>
      <c r="BGD12" s="235"/>
      <c r="BGE12" s="235"/>
      <c r="BGF12" s="235"/>
      <c r="BGG12" s="235"/>
      <c r="BGH12" s="235"/>
      <c r="BGI12" s="235"/>
      <c r="BGJ12" s="235"/>
      <c r="BGK12" s="235"/>
      <c r="BGL12" s="235"/>
      <c r="BGM12" s="235"/>
      <c r="BGN12" s="235"/>
      <c r="BGO12" s="235"/>
      <c r="BGP12" s="235"/>
      <c r="BGQ12" s="235"/>
      <c r="BGR12" s="235"/>
      <c r="BGS12" s="235"/>
      <c r="BGT12" s="235"/>
      <c r="BGU12" s="235"/>
      <c r="BGV12" s="235"/>
      <c r="BGW12" s="235"/>
      <c r="BGX12" s="235"/>
      <c r="BGY12" s="235"/>
      <c r="BGZ12" s="235"/>
      <c r="BHA12" s="235"/>
      <c r="BHB12" s="235"/>
      <c r="BHC12" s="235"/>
      <c r="BHD12" s="235"/>
      <c r="BHE12" s="235"/>
      <c r="BHF12" s="235" t="s">
        <v>78</v>
      </c>
      <c r="BHG12" s="235"/>
      <c r="BHH12" s="235"/>
      <c r="BHI12" s="235"/>
      <c r="BHJ12" s="235"/>
      <c r="BHK12" s="235"/>
      <c r="BHL12" s="235"/>
      <c r="BHM12" s="235"/>
      <c r="BHN12" s="235"/>
      <c r="BHO12" s="235"/>
      <c r="BHP12" s="235"/>
      <c r="BHQ12" s="235"/>
      <c r="BHR12" s="235"/>
      <c r="BHS12" s="235"/>
      <c r="BHT12" s="235"/>
      <c r="BHU12" s="235"/>
      <c r="BHV12" s="235"/>
      <c r="BHW12" s="235"/>
      <c r="BHX12" s="235"/>
      <c r="BHY12" s="235"/>
      <c r="BHZ12" s="235"/>
      <c r="BIA12" s="235"/>
      <c r="BIB12" s="235"/>
      <c r="BIC12" s="235"/>
      <c r="BID12" s="235"/>
      <c r="BIE12" s="235"/>
      <c r="BIF12" s="235"/>
      <c r="BIG12" s="235"/>
      <c r="BIH12" s="235"/>
      <c r="BII12" s="235"/>
      <c r="BIJ12" s="235"/>
      <c r="BIK12" s="235"/>
      <c r="BIL12" s="235"/>
      <c r="BIM12" s="235"/>
      <c r="BIN12" s="235"/>
      <c r="BIO12" s="235"/>
      <c r="BIP12" s="235"/>
      <c r="BIQ12" s="235"/>
      <c r="BIR12" s="235"/>
      <c r="BIS12" s="235"/>
      <c r="BIT12" s="235"/>
      <c r="BIU12" s="235"/>
      <c r="BIV12" s="235"/>
      <c r="BIW12" s="235"/>
      <c r="BIX12" s="235"/>
      <c r="BIY12" s="235"/>
      <c r="BIZ12" s="235"/>
      <c r="BJA12" s="235"/>
      <c r="BJB12" s="235"/>
      <c r="BJC12" s="235"/>
      <c r="BJD12" s="235"/>
      <c r="BJE12" s="235"/>
      <c r="BJF12" s="235"/>
      <c r="BJG12" s="235"/>
      <c r="BJH12" s="235"/>
      <c r="BJI12" s="235"/>
      <c r="BJJ12" s="235"/>
      <c r="BJK12" s="235"/>
      <c r="BJL12" s="235"/>
      <c r="BJM12" s="235"/>
    </row>
    <row r="13" spans="1:1625" ht="42.75" customHeight="1" thickBot="1" x14ac:dyDescent="0.3">
      <c r="B13" s="51"/>
      <c r="C13" s="242" t="s">
        <v>13</v>
      </c>
      <c r="D13" s="117"/>
      <c r="E13" s="240" t="s">
        <v>14</v>
      </c>
      <c r="F13" s="232" t="s">
        <v>15</v>
      </c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4"/>
      <c r="BN13" s="232" t="s">
        <v>16</v>
      </c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4"/>
      <c r="DV13" s="232" t="s">
        <v>17</v>
      </c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  <c r="ES13" s="233"/>
      <c r="ET13" s="233"/>
      <c r="EU13" s="233"/>
      <c r="EV13" s="233"/>
      <c r="EW13" s="233"/>
      <c r="EX13" s="233"/>
      <c r="EY13" s="233"/>
      <c r="EZ13" s="233"/>
      <c r="FA13" s="233"/>
      <c r="FB13" s="233"/>
      <c r="FC13" s="233"/>
      <c r="FD13" s="233"/>
      <c r="FE13" s="233"/>
      <c r="FF13" s="233"/>
      <c r="FG13" s="233"/>
      <c r="FH13" s="233"/>
      <c r="FI13" s="233"/>
      <c r="FJ13" s="233"/>
      <c r="FK13" s="233"/>
      <c r="FL13" s="233"/>
      <c r="FM13" s="233"/>
      <c r="FN13" s="233"/>
      <c r="FO13" s="233"/>
      <c r="FP13" s="233"/>
      <c r="FQ13" s="233"/>
      <c r="FR13" s="233"/>
      <c r="FS13" s="233"/>
      <c r="FT13" s="233"/>
      <c r="FU13" s="233"/>
      <c r="FV13" s="233"/>
      <c r="FW13" s="233"/>
      <c r="FX13" s="233"/>
      <c r="FY13" s="233"/>
      <c r="FZ13" s="233"/>
      <c r="GA13" s="233"/>
      <c r="GB13" s="233"/>
      <c r="GC13" s="234"/>
      <c r="GD13" s="232" t="s">
        <v>18</v>
      </c>
      <c r="GE13" s="233"/>
      <c r="GF13" s="233"/>
      <c r="GG13" s="233"/>
      <c r="GH13" s="233"/>
      <c r="GI13" s="233"/>
      <c r="GJ13" s="233"/>
      <c r="GK13" s="233"/>
      <c r="GL13" s="233"/>
      <c r="GM13" s="233"/>
      <c r="GN13" s="233"/>
      <c r="GO13" s="233"/>
      <c r="GP13" s="233"/>
      <c r="GQ13" s="233"/>
      <c r="GR13" s="233"/>
      <c r="GS13" s="233"/>
      <c r="GT13" s="233"/>
      <c r="GU13" s="233"/>
      <c r="GV13" s="233"/>
      <c r="GW13" s="233"/>
      <c r="GX13" s="233"/>
      <c r="GY13" s="233"/>
      <c r="GZ13" s="233"/>
      <c r="HA13" s="233"/>
      <c r="HB13" s="233"/>
      <c r="HC13" s="233"/>
      <c r="HD13" s="233"/>
      <c r="HE13" s="233"/>
      <c r="HF13" s="233"/>
      <c r="HG13" s="233"/>
      <c r="HH13" s="233"/>
      <c r="HI13" s="233"/>
      <c r="HJ13" s="233"/>
      <c r="HK13" s="233"/>
      <c r="HL13" s="233"/>
      <c r="HM13" s="233"/>
      <c r="HN13" s="233"/>
      <c r="HO13" s="233"/>
      <c r="HP13" s="233"/>
      <c r="HQ13" s="233"/>
      <c r="HR13" s="233"/>
      <c r="HS13" s="233"/>
      <c r="HT13" s="233"/>
      <c r="HU13" s="233"/>
      <c r="HV13" s="233"/>
      <c r="HW13" s="233"/>
      <c r="HX13" s="233"/>
      <c r="HY13" s="233"/>
      <c r="HZ13" s="233"/>
      <c r="IA13" s="233"/>
      <c r="IB13" s="233"/>
      <c r="IC13" s="233"/>
      <c r="ID13" s="233"/>
      <c r="IE13" s="233"/>
      <c r="IF13" s="233"/>
      <c r="IG13" s="233"/>
      <c r="IH13" s="233"/>
      <c r="II13" s="233"/>
      <c r="IJ13" s="233"/>
      <c r="IK13" s="234"/>
      <c r="IL13" s="232" t="s">
        <v>19</v>
      </c>
      <c r="IM13" s="233"/>
      <c r="IN13" s="233"/>
      <c r="IO13" s="233"/>
      <c r="IP13" s="233"/>
      <c r="IQ13" s="233"/>
      <c r="IR13" s="233"/>
      <c r="IS13" s="233"/>
      <c r="IT13" s="233"/>
      <c r="IU13" s="233"/>
      <c r="IV13" s="233"/>
      <c r="IW13" s="233"/>
      <c r="IX13" s="233"/>
      <c r="IY13" s="233"/>
      <c r="IZ13" s="233"/>
      <c r="JA13" s="233"/>
      <c r="JB13" s="233"/>
      <c r="JC13" s="233"/>
      <c r="JD13" s="233"/>
      <c r="JE13" s="233"/>
      <c r="JF13" s="233"/>
      <c r="JG13" s="233"/>
      <c r="JH13" s="233"/>
      <c r="JI13" s="233"/>
      <c r="JJ13" s="233"/>
      <c r="JK13" s="233"/>
      <c r="JL13" s="233"/>
      <c r="JM13" s="233"/>
      <c r="JN13" s="233"/>
      <c r="JO13" s="233"/>
      <c r="JP13" s="233"/>
      <c r="JQ13" s="233"/>
      <c r="JR13" s="233"/>
      <c r="JS13" s="233"/>
      <c r="JT13" s="233"/>
      <c r="JU13" s="233"/>
      <c r="JV13" s="233"/>
      <c r="JW13" s="233"/>
      <c r="JX13" s="233"/>
      <c r="JY13" s="233"/>
      <c r="JZ13" s="233"/>
      <c r="KA13" s="233"/>
      <c r="KB13" s="233"/>
      <c r="KC13" s="233"/>
      <c r="KD13" s="233"/>
      <c r="KE13" s="233"/>
      <c r="KF13" s="233"/>
      <c r="KG13" s="233"/>
      <c r="KH13" s="233"/>
      <c r="KI13" s="233"/>
      <c r="KJ13" s="233"/>
      <c r="KK13" s="233"/>
      <c r="KL13" s="233"/>
      <c r="KM13" s="233"/>
      <c r="KN13" s="233"/>
      <c r="KO13" s="233"/>
      <c r="KP13" s="233"/>
      <c r="KQ13" s="233"/>
      <c r="KR13" s="233"/>
      <c r="KS13" s="234"/>
      <c r="KT13" s="232" t="s">
        <v>20</v>
      </c>
      <c r="KU13" s="233"/>
      <c r="KV13" s="233"/>
      <c r="KW13" s="233"/>
      <c r="KX13" s="233"/>
      <c r="KY13" s="233"/>
      <c r="KZ13" s="233"/>
      <c r="LA13" s="233"/>
      <c r="LB13" s="233"/>
      <c r="LC13" s="233"/>
      <c r="LD13" s="233"/>
      <c r="LE13" s="233"/>
      <c r="LF13" s="233"/>
      <c r="LG13" s="233"/>
      <c r="LH13" s="233"/>
      <c r="LI13" s="233"/>
      <c r="LJ13" s="233"/>
      <c r="LK13" s="233"/>
      <c r="LL13" s="233"/>
      <c r="LM13" s="233"/>
      <c r="LN13" s="233"/>
      <c r="LO13" s="233"/>
      <c r="LP13" s="233"/>
      <c r="LQ13" s="233"/>
      <c r="LR13" s="233"/>
      <c r="LS13" s="233"/>
      <c r="LT13" s="233"/>
      <c r="LU13" s="233"/>
      <c r="LV13" s="233"/>
      <c r="LW13" s="233"/>
      <c r="LX13" s="233"/>
      <c r="LY13" s="233"/>
      <c r="LZ13" s="233"/>
      <c r="MA13" s="233"/>
      <c r="MB13" s="233"/>
      <c r="MC13" s="233"/>
      <c r="MD13" s="233"/>
      <c r="ME13" s="233"/>
      <c r="MF13" s="233"/>
      <c r="MG13" s="233"/>
      <c r="MH13" s="233"/>
      <c r="MI13" s="233"/>
      <c r="MJ13" s="233"/>
      <c r="MK13" s="233"/>
      <c r="ML13" s="233"/>
      <c r="MM13" s="233"/>
      <c r="MN13" s="233"/>
      <c r="MO13" s="233"/>
      <c r="MP13" s="233"/>
      <c r="MQ13" s="233"/>
      <c r="MR13" s="233"/>
      <c r="MS13" s="233"/>
      <c r="MT13" s="233"/>
      <c r="MU13" s="233"/>
      <c r="MV13" s="233"/>
      <c r="MW13" s="233"/>
      <c r="MX13" s="233"/>
      <c r="MY13" s="233"/>
      <c r="MZ13" s="233"/>
      <c r="NA13" s="234"/>
      <c r="NB13" s="232" t="s">
        <v>21</v>
      </c>
      <c r="NC13" s="233"/>
      <c r="ND13" s="233"/>
      <c r="NE13" s="233"/>
      <c r="NF13" s="233"/>
      <c r="NG13" s="233"/>
      <c r="NH13" s="233"/>
      <c r="NI13" s="233"/>
      <c r="NJ13" s="233"/>
      <c r="NK13" s="233"/>
      <c r="NL13" s="233"/>
      <c r="NM13" s="233"/>
      <c r="NN13" s="233"/>
      <c r="NO13" s="233"/>
      <c r="NP13" s="233"/>
      <c r="NQ13" s="233"/>
      <c r="NR13" s="233"/>
      <c r="NS13" s="233"/>
      <c r="NT13" s="233"/>
      <c r="NU13" s="233"/>
      <c r="NV13" s="233"/>
      <c r="NW13" s="233"/>
      <c r="NX13" s="233"/>
      <c r="NY13" s="233"/>
      <c r="NZ13" s="233"/>
      <c r="OA13" s="233"/>
      <c r="OB13" s="233"/>
      <c r="OC13" s="233"/>
      <c r="OD13" s="233"/>
      <c r="OE13" s="233"/>
      <c r="OF13" s="233"/>
      <c r="OG13" s="233"/>
      <c r="OH13" s="233"/>
      <c r="OI13" s="233"/>
      <c r="OJ13" s="233"/>
      <c r="OK13" s="233"/>
      <c r="OL13" s="233"/>
      <c r="OM13" s="233"/>
      <c r="ON13" s="233"/>
      <c r="OO13" s="233"/>
      <c r="OP13" s="233"/>
      <c r="OQ13" s="233"/>
      <c r="OR13" s="233"/>
      <c r="OS13" s="233"/>
      <c r="OT13" s="233"/>
      <c r="OU13" s="233"/>
      <c r="OV13" s="233"/>
      <c r="OW13" s="233"/>
      <c r="OX13" s="233"/>
      <c r="OY13" s="233"/>
      <c r="OZ13" s="233"/>
      <c r="PA13" s="233"/>
      <c r="PB13" s="233"/>
      <c r="PC13" s="233"/>
      <c r="PD13" s="233"/>
      <c r="PE13" s="233"/>
      <c r="PF13" s="233"/>
      <c r="PG13" s="233"/>
      <c r="PH13" s="233"/>
      <c r="PI13" s="234"/>
      <c r="PJ13" s="232" t="s">
        <v>22</v>
      </c>
      <c r="PK13" s="233"/>
      <c r="PL13" s="233"/>
      <c r="PM13" s="233"/>
      <c r="PN13" s="233"/>
      <c r="PO13" s="233"/>
      <c r="PP13" s="233"/>
      <c r="PQ13" s="233"/>
      <c r="PR13" s="233"/>
      <c r="PS13" s="233"/>
      <c r="PT13" s="233"/>
      <c r="PU13" s="233"/>
      <c r="PV13" s="233"/>
      <c r="PW13" s="233"/>
      <c r="PX13" s="233"/>
      <c r="PY13" s="233"/>
      <c r="PZ13" s="233"/>
      <c r="QA13" s="233"/>
      <c r="QB13" s="233"/>
      <c r="QC13" s="233"/>
      <c r="QD13" s="233"/>
      <c r="QE13" s="233"/>
      <c r="QF13" s="233"/>
      <c r="QG13" s="233"/>
      <c r="QH13" s="233"/>
      <c r="QI13" s="233"/>
      <c r="QJ13" s="233"/>
      <c r="QK13" s="233"/>
      <c r="QL13" s="233"/>
      <c r="QM13" s="233"/>
      <c r="QN13" s="233"/>
      <c r="QO13" s="233"/>
      <c r="QP13" s="233"/>
      <c r="QQ13" s="233"/>
      <c r="QR13" s="233"/>
      <c r="QS13" s="233"/>
      <c r="QT13" s="233"/>
      <c r="QU13" s="233"/>
      <c r="QV13" s="233"/>
      <c r="QW13" s="233"/>
      <c r="QX13" s="233"/>
      <c r="QY13" s="233"/>
      <c r="QZ13" s="233"/>
      <c r="RA13" s="233"/>
      <c r="RB13" s="233"/>
      <c r="RC13" s="233"/>
      <c r="RD13" s="233"/>
      <c r="RE13" s="233"/>
      <c r="RF13" s="233"/>
      <c r="RG13" s="233"/>
      <c r="RH13" s="233"/>
      <c r="RI13" s="233"/>
      <c r="RJ13" s="233"/>
      <c r="RK13" s="233"/>
      <c r="RL13" s="233"/>
      <c r="RM13" s="233"/>
      <c r="RN13" s="233"/>
      <c r="RO13" s="233"/>
      <c r="RP13" s="233"/>
      <c r="RQ13" s="234"/>
      <c r="RR13" s="232" t="s">
        <v>23</v>
      </c>
      <c r="RS13" s="233"/>
      <c r="RT13" s="233"/>
      <c r="RU13" s="233"/>
      <c r="RV13" s="233"/>
      <c r="RW13" s="233"/>
      <c r="RX13" s="233"/>
      <c r="RY13" s="233"/>
      <c r="RZ13" s="233"/>
      <c r="SA13" s="233"/>
      <c r="SB13" s="233"/>
      <c r="SC13" s="233"/>
      <c r="SD13" s="233"/>
      <c r="SE13" s="233"/>
      <c r="SF13" s="233"/>
      <c r="SG13" s="233"/>
      <c r="SH13" s="233"/>
      <c r="SI13" s="233"/>
      <c r="SJ13" s="233"/>
      <c r="SK13" s="233"/>
      <c r="SL13" s="233"/>
      <c r="SM13" s="233"/>
      <c r="SN13" s="233"/>
      <c r="SO13" s="233"/>
      <c r="SP13" s="233"/>
      <c r="SQ13" s="233"/>
      <c r="SR13" s="233"/>
      <c r="SS13" s="233"/>
      <c r="ST13" s="233"/>
      <c r="SU13" s="233"/>
      <c r="SV13" s="233"/>
      <c r="SW13" s="233"/>
      <c r="SX13" s="233"/>
      <c r="SY13" s="233"/>
      <c r="SZ13" s="233"/>
      <c r="TA13" s="233"/>
      <c r="TB13" s="233"/>
      <c r="TC13" s="233"/>
      <c r="TD13" s="233"/>
      <c r="TE13" s="233"/>
      <c r="TF13" s="233"/>
      <c r="TG13" s="233"/>
      <c r="TH13" s="233"/>
      <c r="TI13" s="233"/>
      <c r="TJ13" s="233"/>
      <c r="TK13" s="233"/>
      <c r="TL13" s="233"/>
      <c r="TM13" s="233"/>
      <c r="TN13" s="233"/>
      <c r="TO13" s="233"/>
      <c r="TP13" s="233"/>
      <c r="TQ13" s="233"/>
      <c r="TR13" s="233"/>
      <c r="TS13" s="233"/>
      <c r="TT13" s="233"/>
      <c r="TU13" s="233"/>
      <c r="TV13" s="233"/>
      <c r="TW13" s="233"/>
      <c r="TX13" s="233"/>
      <c r="TY13" s="234"/>
      <c r="TZ13" s="232" t="s">
        <v>24</v>
      </c>
      <c r="UA13" s="233"/>
      <c r="UB13" s="233"/>
      <c r="UC13" s="233"/>
      <c r="UD13" s="233"/>
      <c r="UE13" s="233"/>
      <c r="UF13" s="233"/>
      <c r="UG13" s="233"/>
      <c r="UH13" s="233"/>
      <c r="UI13" s="233"/>
      <c r="UJ13" s="233"/>
      <c r="UK13" s="233"/>
      <c r="UL13" s="233"/>
      <c r="UM13" s="233"/>
      <c r="UN13" s="233"/>
      <c r="UO13" s="233"/>
      <c r="UP13" s="233"/>
      <c r="UQ13" s="233"/>
      <c r="UR13" s="233"/>
      <c r="US13" s="233"/>
      <c r="UT13" s="233"/>
      <c r="UU13" s="233"/>
      <c r="UV13" s="233"/>
      <c r="UW13" s="233"/>
      <c r="UX13" s="233"/>
      <c r="UY13" s="233"/>
      <c r="UZ13" s="233"/>
      <c r="VA13" s="233"/>
      <c r="VB13" s="233"/>
      <c r="VC13" s="233"/>
      <c r="VD13" s="233"/>
      <c r="VE13" s="233"/>
      <c r="VF13" s="233"/>
      <c r="VG13" s="233"/>
      <c r="VH13" s="233"/>
      <c r="VI13" s="233"/>
      <c r="VJ13" s="233"/>
      <c r="VK13" s="233"/>
      <c r="VL13" s="233"/>
      <c r="VM13" s="233"/>
      <c r="VN13" s="233"/>
      <c r="VO13" s="233"/>
      <c r="VP13" s="233"/>
      <c r="VQ13" s="233"/>
      <c r="VR13" s="233"/>
      <c r="VS13" s="233"/>
      <c r="VT13" s="233"/>
      <c r="VU13" s="233"/>
      <c r="VV13" s="233"/>
      <c r="VW13" s="233"/>
      <c r="VX13" s="233"/>
      <c r="VY13" s="233"/>
      <c r="VZ13" s="233"/>
      <c r="WA13" s="233"/>
      <c r="WB13" s="233"/>
      <c r="WC13" s="233"/>
      <c r="WD13" s="233"/>
      <c r="WE13" s="233"/>
      <c r="WF13" s="233"/>
      <c r="WG13" s="234"/>
      <c r="WH13" s="232" t="s">
        <v>25</v>
      </c>
      <c r="WI13" s="233"/>
      <c r="WJ13" s="233"/>
      <c r="WK13" s="233"/>
      <c r="WL13" s="233"/>
      <c r="WM13" s="233"/>
      <c r="WN13" s="233"/>
      <c r="WO13" s="233"/>
      <c r="WP13" s="233"/>
      <c r="WQ13" s="233"/>
      <c r="WR13" s="233"/>
      <c r="WS13" s="233"/>
      <c r="WT13" s="233"/>
      <c r="WU13" s="233"/>
      <c r="WV13" s="233"/>
      <c r="WW13" s="233"/>
      <c r="WX13" s="233"/>
      <c r="WY13" s="233"/>
      <c r="WZ13" s="233"/>
      <c r="XA13" s="233"/>
      <c r="XB13" s="233"/>
      <c r="XC13" s="233"/>
      <c r="XD13" s="233"/>
      <c r="XE13" s="233"/>
      <c r="XF13" s="233"/>
      <c r="XG13" s="233"/>
      <c r="XH13" s="233"/>
      <c r="XI13" s="233"/>
      <c r="XJ13" s="233"/>
      <c r="XK13" s="233"/>
      <c r="XL13" s="233"/>
      <c r="XM13" s="233"/>
      <c r="XN13" s="233"/>
      <c r="XO13" s="233"/>
      <c r="XP13" s="233"/>
      <c r="XQ13" s="233"/>
      <c r="XR13" s="233"/>
      <c r="XS13" s="233"/>
      <c r="XT13" s="233"/>
      <c r="XU13" s="233"/>
      <c r="XV13" s="233"/>
      <c r="XW13" s="233"/>
      <c r="XX13" s="233"/>
      <c r="XY13" s="233"/>
      <c r="XZ13" s="233"/>
      <c r="YA13" s="233"/>
      <c r="YB13" s="233"/>
      <c r="YC13" s="233"/>
      <c r="YD13" s="233"/>
      <c r="YE13" s="233"/>
      <c r="YF13" s="233"/>
      <c r="YG13" s="233"/>
      <c r="YH13" s="233"/>
      <c r="YI13" s="233"/>
      <c r="YJ13" s="233"/>
      <c r="YK13" s="233"/>
      <c r="YL13" s="233"/>
      <c r="YM13" s="233"/>
      <c r="YN13" s="233"/>
      <c r="YO13" s="234"/>
      <c r="YP13" s="232" t="s">
        <v>26</v>
      </c>
      <c r="YQ13" s="233"/>
      <c r="YR13" s="233"/>
      <c r="YS13" s="233"/>
      <c r="YT13" s="233"/>
      <c r="YU13" s="233"/>
      <c r="YV13" s="233"/>
      <c r="YW13" s="233"/>
      <c r="YX13" s="233"/>
      <c r="YY13" s="233"/>
      <c r="YZ13" s="233"/>
      <c r="ZA13" s="233"/>
      <c r="ZB13" s="233"/>
      <c r="ZC13" s="233"/>
      <c r="ZD13" s="233"/>
      <c r="ZE13" s="233"/>
      <c r="ZF13" s="233"/>
      <c r="ZG13" s="233"/>
      <c r="ZH13" s="233"/>
      <c r="ZI13" s="233"/>
      <c r="ZJ13" s="233"/>
      <c r="ZK13" s="233"/>
      <c r="ZL13" s="233"/>
      <c r="ZM13" s="233"/>
      <c r="ZN13" s="233"/>
      <c r="ZO13" s="233"/>
      <c r="ZP13" s="233"/>
      <c r="ZQ13" s="233"/>
      <c r="ZR13" s="233"/>
      <c r="ZS13" s="233"/>
      <c r="ZT13" s="233"/>
      <c r="ZU13" s="233"/>
      <c r="ZV13" s="233"/>
      <c r="ZW13" s="233"/>
      <c r="ZX13" s="233"/>
      <c r="ZY13" s="233"/>
      <c r="ZZ13" s="233"/>
      <c r="AAA13" s="233"/>
      <c r="AAB13" s="233"/>
      <c r="AAC13" s="233"/>
      <c r="AAD13" s="233"/>
      <c r="AAE13" s="233"/>
      <c r="AAF13" s="233"/>
      <c r="AAG13" s="233"/>
      <c r="AAH13" s="233"/>
      <c r="AAI13" s="233"/>
      <c r="AAJ13" s="233"/>
      <c r="AAK13" s="233"/>
      <c r="AAL13" s="233"/>
      <c r="AAM13" s="233"/>
      <c r="AAN13" s="233"/>
      <c r="AAO13" s="233"/>
      <c r="AAP13" s="233"/>
      <c r="AAQ13" s="233"/>
      <c r="AAR13" s="233"/>
      <c r="AAS13" s="233"/>
      <c r="AAT13" s="233"/>
      <c r="AAU13" s="233"/>
      <c r="AAV13" s="233"/>
      <c r="AAW13" s="234"/>
      <c r="AAX13" s="232" t="s">
        <v>27</v>
      </c>
      <c r="AAY13" s="233"/>
      <c r="AAZ13" s="233"/>
      <c r="ABA13" s="233"/>
      <c r="ABB13" s="233"/>
      <c r="ABC13" s="233"/>
      <c r="ABD13" s="233"/>
      <c r="ABE13" s="233"/>
      <c r="ABF13" s="233"/>
      <c r="ABG13" s="233"/>
      <c r="ABH13" s="233"/>
      <c r="ABI13" s="233"/>
      <c r="ABJ13" s="233"/>
      <c r="ABK13" s="233"/>
      <c r="ABL13" s="233"/>
      <c r="ABM13" s="233"/>
      <c r="ABN13" s="233"/>
      <c r="ABO13" s="233"/>
      <c r="ABP13" s="233"/>
      <c r="ABQ13" s="233"/>
      <c r="ABR13" s="233"/>
      <c r="ABS13" s="233"/>
      <c r="ABT13" s="233"/>
      <c r="ABU13" s="233"/>
      <c r="ABV13" s="233"/>
      <c r="ABW13" s="233"/>
      <c r="ABX13" s="233"/>
      <c r="ABY13" s="233"/>
      <c r="ABZ13" s="233"/>
      <c r="ACA13" s="233"/>
      <c r="ACB13" s="233"/>
      <c r="ACC13" s="233"/>
      <c r="ACD13" s="233"/>
      <c r="ACE13" s="233"/>
      <c r="ACF13" s="233"/>
      <c r="ACG13" s="233"/>
      <c r="ACH13" s="233"/>
      <c r="ACI13" s="233"/>
      <c r="ACJ13" s="233"/>
      <c r="ACK13" s="233"/>
      <c r="ACL13" s="233"/>
      <c r="ACM13" s="233"/>
      <c r="ACN13" s="233"/>
      <c r="ACO13" s="233"/>
      <c r="ACP13" s="233"/>
      <c r="ACQ13" s="233"/>
      <c r="ACR13" s="233"/>
      <c r="ACS13" s="233"/>
      <c r="ACT13" s="233"/>
      <c r="ACU13" s="233"/>
      <c r="ACV13" s="233"/>
      <c r="ACW13" s="233"/>
      <c r="ACX13" s="233"/>
      <c r="ACY13" s="233"/>
      <c r="ACZ13" s="233"/>
      <c r="ADA13" s="233"/>
      <c r="ADB13" s="233"/>
      <c r="ADC13" s="233"/>
      <c r="ADD13" s="233"/>
      <c r="ADE13" s="234"/>
      <c r="ADF13" s="232" t="s">
        <v>28</v>
      </c>
      <c r="ADG13" s="233"/>
      <c r="ADH13" s="233"/>
      <c r="ADI13" s="233"/>
      <c r="ADJ13" s="233"/>
      <c r="ADK13" s="233"/>
      <c r="ADL13" s="233"/>
      <c r="ADM13" s="233"/>
      <c r="ADN13" s="233"/>
      <c r="ADO13" s="233"/>
      <c r="ADP13" s="233"/>
      <c r="ADQ13" s="233"/>
      <c r="ADR13" s="233"/>
      <c r="ADS13" s="233"/>
      <c r="ADT13" s="233"/>
      <c r="ADU13" s="233"/>
      <c r="ADV13" s="233"/>
      <c r="ADW13" s="233"/>
      <c r="ADX13" s="233"/>
      <c r="ADY13" s="233"/>
      <c r="ADZ13" s="233"/>
      <c r="AEA13" s="233"/>
      <c r="AEB13" s="233"/>
      <c r="AEC13" s="233"/>
      <c r="AED13" s="233"/>
      <c r="AEE13" s="233"/>
      <c r="AEF13" s="233"/>
      <c r="AEG13" s="233"/>
      <c r="AEH13" s="233"/>
      <c r="AEI13" s="233"/>
      <c r="AEJ13" s="233"/>
      <c r="AEK13" s="233"/>
      <c r="AEL13" s="233"/>
      <c r="AEM13" s="233"/>
      <c r="AEN13" s="233"/>
      <c r="AEO13" s="233"/>
      <c r="AEP13" s="233"/>
      <c r="AEQ13" s="233"/>
      <c r="AER13" s="233"/>
      <c r="AES13" s="233"/>
      <c r="AET13" s="233"/>
      <c r="AEU13" s="233"/>
      <c r="AEV13" s="233"/>
      <c r="AEW13" s="233"/>
      <c r="AEX13" s="233"/>
      <c r="AEY13" s="233"/>
      <c r="AEZ13" s="233"/>
      <c r="AFA13" s="233"/>
      <c r="AFB13" s="233"/>
      <c r="AFC13" s="233"/>
      <c r="AFD13" s="233"/>
      <c r="AFE13" s="233"/>
      <c r="AFF13" s="233"/>
      <c r="AFG13" s="233"/>
      <c r="AFH13" s="233"/>
      <c r="AFI13" s="233"/>
      <c r="AFJ13" s="233"/>
      <c r="AFK13" s="233"/>
      <c r="AFL13" s="233"/>
      <c r="AFM13" s="234"/>
      <c r="AFN13" s="232" t="s">
        <v>29</v>
      </c>
      <c r="AFO13" s="233"/>
      <c r="AFP13" s="233"/>
      <c r="AFQ13" s="233"/>
      <c r="AFR13" s="233"/>
      <c r="AFS13" s="233"/>
      <c r="AFT13" s="233"/>
      <c r="AFU13" s="233"/>
      <c r="AFV13" s="233"/>
      <c r="AFW13" s="233"/>
      <c r="AFX13" s="233"/>
      <c r="AFY13" s="233"/>
      <c r="AFZ13" s="233"/>
      <c r="AGA13" s="233"/>
      <c r="AGB13" s="233"/>
      <c r="AGC13" s="233"/>
      <c r="AGD13" s="233"/>
      <c r="AGE13" s="233"/>
      <c r="AGF13" s="233"/>
      <c r="AGG13" s="233"/>
      <c r="AGH13" s="233"/>
      <c r="AGI13" s="233"/>
      <c r="AGJ13" s="233"/>
      <c r="AGK13" s="233"/>
      <c r="AGL13" s="233"/>
      <c r="AGM13" s="233"/>
      <c r="AGN13" s="233"/>
      <c r="AGO13" s="233"/>
      <c r="AGP13" s="233"/>
      <c r="AGQ13" s="233"/>
      <c r="AGR13" s="233"/>
      <c r="AGS13" s="233"/>
      <c r="AGT13" s="233"/>
      <c r="AGU13" s="233"/>
      <c r="AGV13" s="233"/>
      <c r="AGW13" s="233"/>
      <c r="AGX13" s="233"/>
      <c r="AGY13" s="233"/>
      <c r="AGZ13" s="233"/>
      <c r="AHA13" s="233"/>
      <c r="AHB13" s="233"/>
      <c r="AHC13" s="233"/>
      <c r="AHD13" s="233"/>
      <c r="AHE13" s="233"/>
      <c r="AHF13" s="233"/>
      <c r="AHG13" s="233"/>
      <c r="AHH13" s="233"/>
      <c r="AHI13" s="233"/>
      <c r="AHJ13" s="233"/>
      <c r="AHK13" s="233"/>
      <c r="AHL13" s="233"/>
      <c r="AHM13" s="233"/>
      <c r="AHN13" s="233"/>
      <c r="AHO13" s="233"/>
      <c r="AHP13" s="233"/>
      <c r="AHQ13" s="233"/>
      <c r="AHR13" s="233"/>
      <c r="AHS13" s="233"/>
      <c r="AHT13" s="233"/>
      <c r="AHU13" s="234"/>
      <c r="AHV13" s="232" t="s">
        <v>30</v>
      </c>
      <c r="AHW13" s="233"/>
      <c r="AHX13" s="233"/>
      <c r="AHY13" s="233"/>
      <c r="AHZ13" s="233"/>
      <c r="AIA13" s="233"/>
      <c r="AIB13" s="233"/>
      <c r="AIC13" s="233"/>
      <c r="AID13" s="233"/>
      <c r="AIE13" s="233"/>
      <c r="AIF13" s="233"/>
      <c r="AIG13" s="233"/>
      <c r="AIH13" s="233"/>
      <c r="AII13" s="233"/>
      <c r="AIJ13" s="233"/>
      <c r="AIK13" s="233"/>
      <c r="AIL13" s="233"/>
      <c r="AIM13" s="233"/>
      <c r="AIN13" s="233"/>
      <c r="AIO13" s="233"/>
      <c r="AIP13" s="233"/>
      <c r="AIQ13" s="233"/>
      <c r="AIR13" s="233"/>
      <c r="AIS13" s="233"/>
      <c r="AIT13" s="233"/>
      <c r="AIU13" s="233"/>
      <c r="AIV13" s="233"/>
      <c r="AIW13" s="233"/>
      <c r="AIX13" s="233"/>
      <c r="AIY13" s="233"/>
      <c r="AIZ13" s="233"/>
      <c r="AJA13" s="233"/>
      <c r="AJB13" s="233"/>
      <c r="AJC13" s="233"/>
      <c r="AJD13" s="233"/>
      <c r="AJE13" s="233"/>
      <c r="AJF13" s="233"/>
      <c r="AJG13" s="233"/>
      <c r="AJH13" s="233"/>
      <c r="AJI13" s="233"/>
      <c r="AJJ13" s="233"/>
      <c r="AJK13" s="233"/>
      <c r="AJL13" s="233"/>
      <c r="AJM13" s="233"/>
      <c r="AJN13" s="233"/>
      <c r="AJO13" s="233"/>
      <c r="AJP13" s="233"/>
      <c r="AJQ13" s="233"/>
      <c r="AJR13" s="233"/>
      <c r="AJS13" s="233"/>
      <c r="AJT13" s="233"/>
      <c r="AJU13" s="233"/>
      <c r="AJV13" s="233"/>
      <c r="AJW13" s="233"/>
      <c r="AJX13" s="233"/>
      <c r="AJY13" s="233"/>
      <c r="AJZ13" s="233"/>
      <c r="AKA13" s="233"/>
      <c r="AKB13" s="233"/>
      <c r="AKC13" s="234"/>
      <c r="AKD13" s="232" t="s">
        <v>31</v>
      </c>
      <c r="AKE13" s="233"/>
      <c r="AKF13" s="233"/>
      <c r="AKG13" s="233"/>
      <c r="AKH13" s="233"/>
      <c r="AKI13" s="233"/>
      <c r="AKJ13" s="233"/>
      <c r="AKK13" s="233"/>
      <c r="AKL13" s="233"/>
      <c r="AKM13" s="233"/>
      <c r="AKN13" s="233"/>
      <c r="AKO13" s="233"/>
      <c r="AKP13" s="233"/>
      <c r="AKQ13" s="233"/>
      <c r="AKR13" s="233"/>
      <c r="AKS13" s="233"/>
      <c r="AKT13" s="233"/>
      <c r="AKU13" s="233"/>
      <c r="AKV13" s="233"/>
      <c r="AKW13" s="233"/>
      <c r="AKX13" s="233"/>
      <c r="AKY13" s="233"/>
      <c r="AKZ13" s="233"/>
      <c r="ALA13" s="233"/>
      <c r="ALB13" s="233"/>
      <c r="ALC13" s="233"/>
      <c r="ALD13" s="233"/>
      <c r="ALE13" s="233"/>
      <c r="ALF13" s="233"/>
      <c r="ALG13" s="233"/>
      <c r="ALH13" s="233"/>
      <c r="ALI13" s="233"/>
      <c r="ALJ13" s="233"/>
      <c r="ALK13" s="233"/>
      <c r="ALL13" s="233"/>
      <c r="ALM13" s="233"/>
      <c r="ALN13" s="233"/>
      <c r="ALO13" s="233"/>
      <c r="ALP13" s="233"/>
      <c r="ALQ13" s="233"/>
      <c r="ALR13" s="233"/>
      <c r="ALS13" s="233"/>
      <c r="ALT13" s="233"/>
      <c r="ALU13" s="233"/>
      <c r="ALV13" s="233"/>
      <c r="ALW13" s="233"/>
      <c r="ALX13" s="233"/>
      <c r="ALY13" s="233"/>
      <c r="ALZ13" s="233"/>
      <c r="AMA13" s="233"/>
      <c r="AMB13" s="233"/>
      <c r="AMC13" s="233"/>
      <c r="AMD13" s="233"/>
      <c r="AME13" s="233"/>
      <c r="AMF13" s="233"/>
      <c r="AMG13" s="233"/>
      <c r="AMH13" s="233"/>
      <c r="AMI13" s="233"/>
      <c r="AMJ13" s="233"/>
      <c r="AMK13" s="234"/>
      <c r="AML13" s="232" t="s">
        <v>32</v>
      </c>
      <c r="AMM13" s="233"/>
      <c r="AMN13" s="233"/>
      <c r="AMO13" s="233"/>
      <c r="AMP13" s="233"/>
      <c r="AMQ13" s="233"/>
      <c r="AMR13" s="233"/>
      <c r="AMS13" s="233"/>
      <c r="AMT13" s="233"/>
      <c r="AMU13" s="233"/>
      <c r="AMV13" s="233"/>
      <c r="AMW13" s="233"/>
      <c r="AMX13" s="233"/>
      <c r="AMY13" s="233"/>
      <c r="AMZ13" s="233"/>
      <c r="ANA13" s="233"/>
      <c r="ANB13" s="233"/>
      <c r="ANC13" s="233"/>
      <c r="AND13" s="233"/>
      <c r="ANE13" s="233"/>
      <c r="ANF13" s="233"/>
      <c r="ANG13" s="233"/>
      <c r="ANH13" s="233"/>
      <c r="ANI13" s="233"/>
      <c r="ANJ13" s="233"/>
      <c r="ANK13" s="233"/>
      <c r="ANL13" s="233"/>
      <c r="ANM13" s="233"/>
      <c r="ANN13" s="233"/>
      <c r="ANO13" s="233"/>
      <c r="ANP13" s="233"/>
      <c r="ANQ13" s="233"/>
      <c r="ANR13" s="233"/>
      <c r="ANS13" s="233"/>
      <c r="ANT13" s="233"/>
      <c r="ANU13" s="233"/>
      <c r="ANV13" s="233"/>
      <c r="ANW13" s="233"/>
      <c r="ANX13" s="233"/>
      <c r="ANY13" s="233"/>
      <c r="ANZ13" s="233"/>
      <c r="AOA13" s="233"/>
      <c r="AOB13" s="233"/>
      <c r="AOC13" s="233"/>
      <c r="AOD13" s="233"/>
      <c r="AOE13" s="233"/>
      <c r="AOF13" s="233"/>
      <c r="AOG13" s="233"/>
      <c r="AOH13" s="233"/>
      <c r="AOI13" s="233"/>
      <c r="AOJ13" s="233"/>
      <c r="AOK13" s="233"/>
      <c r="AOL13" s="233"/>
      <c r="AOM13" s="233"/>
      <c r="AON13" s="233"/>
      <c r="AOO13" s="233"/>
      <c r="AOP13" s="233"/>
      <c r="AOQ13" s="233"/>
      <c r="AOR13" s="233"/>
      <c r="AOS13" s="234"/>
      <c r="AOT13" s="232" t="s">
        <v>33</v>
      </c>
      <c r="AOU13" s="233"/>
      <c r="AOV13" s="233"/>
      <c r="AOW13" s="233"/>
      <c r="AOX13" s="233"/>
      <c r="AOY13" s="233"/>
      <c r="AOZ13" s="233"/>
      <c r="APA13" s="233"/>
      <c r="APB13" s="233"/>
      <c r="APC13" s="233"/>
      <c r="APD13" s="233"/>
      <c r="APE13" s="233"/>
      <c r="APF13" s="233"/>
      <c r="APG13" s="233"/>
      <c r="APH13" s="233"/>
      <c r="API13" s="233"/>
      <c r="APJ13" s="233"/>
      <c r="APK13" s="233"/>
      <c r="APL13" s="233"/>
      <c r="APM13" s="233"/>
      <c r="APN13" s="233"/>
      <c r="APO13" s="233"/>
      <c r="APP13" s="233"/>
      <c r="APQ13" s="233"/>
      <c r="APR13" s="233"/>
      <c r="APS13" s="233"/>
      <c r="APT13" s="233"/>
      <c r="APU13" s="233"/>
      <c r="APV13" s="233"/>
      <c r="APW13" s="233"/>
      <c r="APX13" s="233"/>
      <c r="APY13" s="233"/>
      <c r="APZ13" s="233"/>
      <c r="AQA13" s="233"/>
      <c r="AQB13" s="233"/>
      <c r="AQC13" s="233"/>
      <c r="AQD13" s="233"/>
      <c r="AQE13" s="233"/>
      <c r="AQF13" s="233"/>
      <c r="AQG13" s="233"/>
      <c r="AQH13" s="233"/>
      <c r="AQI13" s="233"/>
      <c r="AQJ13" s="233"/>
      <c r="AQK13" s="233"/>
      <c r="AQL13" s="233"/>
      <c r="AQM13" s="233"/>
      <c r="AQN13" s="233"/>
      <c r="AQO13" s="233"/>
      <c r="AQP13" s="233"/>
      <c r="AQQ13" s="233"/>
      <c r="AQR13" s="233"/>
      <c r="AQS13" s="233"/>
      <c r="AQT13" s="233"/>
      <c r="AQU13" s="233"/>
      <c r="AQV13" s="233"/>
      <c r="AQW13" s="233"/>
      <c r="AQX13" s="233"/>
      <c r="AQY13" s="233"/>
      <c r="AQZ13" s="233"/>
      <c r="ARA13" s="234"/>
      <c r="ARB13" s="232" t="s">
        <v>34</v>
      </c>
      <c r="ARC13" s="233"/>
      <c r="ARD13" s="233"/>
      <c r="ARE13" s="233"/>
      <c r="ARF13" s="233"/>
      <c r="ARG13" s="233"/>
      <c r="ARH13" s="233"/>
      <c r="ARI13" s="233"/>
      <c r="ARJ13" s="233"/>
      <c r="ARK13" s="233"/>
      <c r="ARL13" s="233"/>
      <c r="ARM13" s="233"/>
      <c r="ARN13" s="233"/>
      <c r="ARO13" s="233"/>
      <c r="ARP13" s="233"/>
      <c r="ARQ13" s="233"/>
      <c r="ARR13" s="233"/>
      <c r="ARS13" s="233"/>
      <c r="ART13" s="233"/>
      <c r="ARU13" s="233"/>
      <c r="ARV13" s="233"/>
      <c r="ARW13" s="233"/>
      <c r="ARX13" s="233"/>
      <c r="ARY13" s="233"/>
      <c r="ARZ13" s="233"/>
      <c r="ASA13" s="233"/>
      <c r="ASB13" s="233"/>
      <c r="ASC13" s="233"/>
      <c r="ASD13" s="233"/>
      <c r="ASE13" s="233"/>
      <c r="ASF13" s="233"/>
      <c r="ASG13" s="233"/>
      <c r="ASH13" s="233"/>
      <c r="ASI13" s="233"/>
      <c r="ASJ13" s="233"/>
      <c r="ASK13" s="233"/>
      <c r="ASL13" s="233"/>
      <c r="ASM13" s="233"/>
      <c r="ASN13" s="233"/>
      <c r="ASO13" s="233"/>
      <c r="ASP13" s="233"/>
      <c r="ASQ13" s="233"/>
      <c r="ASR13" s="233"/>
      <c r="ASS13" s="233"/>
      <c r="AST13" s="233"/>
      <c r="ASU13" s="233"/>
      <c r="ASV13" s="233"/>
      <c r="ASW13" s="233"/>
      <c r="ASX13" s="233"/>
      <c r="ASY13" s="233"/>
      <c r="ASZ13" s="233"/>
      <c r="ATA13" s="233"/>
      <c r="ATB13" s="233"/>
      <c r="ATC13" s="233"/>
      <c r="ATD13" s="233"/>
      <c r="ATE13" s="233"/>
      <c r="ATF13" s="233"/>
      <c r="ATG13" s="233"/>
      <c r="ATH13" s="233"/>
      <c r="ATI13" s="234"/>
      <c r="ATJ13" s="232" t="s">
        <v>35</v>
      </c>
      <c r="ATK13" s="233"/>
      <c r="ATL13" s="233"/>
      <c r="ATM13" s="233"/>
      <c r="ATN13" s="233"/>
      <c r="ATO13" s="233"/>
      <c r="ATP13" s="233"/>
      <c r="ATQ13" s="233"/>
      <c r="ATR13" s="233"/>
      <c r="ATS13" s="233"/>
      <c r="ATT13" s="233"/>
      <c r="ATU13" s="233"/>
      <c r="ATV13" s="233"/>
      <c r="ATW13" s="233"/>
      <c r="ATX13" s="233"/>
      <c r="ATY13" s="233"/>
      <c r="ATZ13" s="233"/>
      <c r="AUA13" s="233"/>
      <c r="AUB13" s="233"/>
      <c r="AUC13" s="233"/>
      <c r="AUD13" s="233"/>
      <c r="AUE13" s="233"/>
      <c r="AUF13" s="233"/>
      <c r="AUG13" s="233"/>
      <c r="AUH13" s="233"/>
      <c r="AUI13" s="233"/>
      <c r="AUJ13" s="233"/>
      <c r="AUK13" s="233"/>
      <c r="AUL13" s="233"/>
      <c r="AUM13" s="233"/>
      <c r="AUN13" s="233"/>
      <c r="AUO13" s="233"/>
      <c r="AUP13" s="233"/>
      <c r="AUQ13" s="233"/>
      <c r="AUR13" s="233"/>
      <c r="AUS13" s="233"/>
      <c r="AUT13" s="233"/>
      <c r="AUU13" s="233"/>
      <c r="AUV13" s="233"/>
      <c r="AUW13" s="233"/>
      <c r="AUX13" s="233"/>
      <c r="AUY13" s="233"/>
      <c r="AUZ13" s="233"/>
      <c r="AVA13" s="233"/>
      <c r="AVB13" s="233"/>
      <c r="AVC13" s="233"/>
      <c r="AVD13" s="233"/>
      <c r="AVE13" s="233"/>
      <c r="AVF13" s="233"/>
      <c r="AVG13" s="233"/>
      <c r="AVH13" s="233"/>
      <c r="AVI13" s="233"/>
      <c r="AVJ13" s="233"/>
      <c r="AVK13" s="233"/>
      <c r="AVL13" s="233"/>
      <c r="AVM13" s="233"/>
      <c r="AVN13" s="233"/>
      <c r="AVO13" s="233"/>
      <c r="AVP13" s="233"/>
      <c r="AVQ13" s="234"/>
      <c r="AVR13" s="232" t="s">
        <v>36</v>
      </c>
      <c r="AVS13" s="233"/>
      <c r="AVT13" s="233"/>
      <c r="AVU13" s="233"/>
      <c r="AVV13" s="233"/>
      <c r="AVW13" s="233"/>
      <c r="AVX13" s="233"/>
      <c r="AVY13" s="233"/>
      <c r="AVZ13" s="233"/>
      <c r="AWA13" s="233"/>
      <c r="AWB13" s="233"/>
      <c r="AWC13" s="233"/>
      <c r="AWD13" s="233"/>
      <c r="AWE13" s="233"/>
      <c r="AWF13" s="233"/>
      <c r="AWG13" s="233"/>
      <c r="AWH13" s="233"/>
      <c r="AWI13" s="233"/>
      <c r="AWJ13" s="233"/>
      <c r="AWK13" s="233"/>
      <c r="AWL13" s="233"/>
      <c r="AWM13" s="233"/>
      <c r="AWN13" s="233"/>
      <c r="AWO13" s="233"/>
      <c r="AWP13" s="233"/>
      <c r="AWQ13" s="233"/>
      <c r="AWR13" s="233"/>
      <c r="AWS13" s="233"/>
      <c r="AWT13" s="233"/>
      <c r="AWU13" s="233"/>
      <c r="AWV13" s="233"/>
      <c r="AWW13" s="233"/>
      <c r="AWX13" s="233"/>
      <c r="AWY13" s="233"/>
      <c r="AWZ13" s="233"/>
      <c r="AXA13" s="233"/>
      <c r="AXB13" s="233"/>
      <c r="AXC13" s="233"/>
      <c r="AXD13" s="233"/>
      <c r="AXE13" s="233"/>
      <c r="AXF13" s="233"/>
      <c r="AXG13" s="233"/>
      <c r="AXH13" s="233"/>
      <c r="AXI13" s="233"/>
      <c r="AXJ13" s="233"/>
      <c r="AXK13" s="233"/>
      <c r="AXL13" s="233"/>
      <c r="AXM13" s="233"/>
      <c r="AXN13" s="233"/>
      <c r="AXO13" s="233"/>
      <c r="AXP13" s="233"/>
      <c r="AXQ13" s="233"/>
      <c r="AXR13" s="233"/>
      <c r="AXS13" s="233"/>
      <c r="AXT13" s="233"/>
      <c r="AXU13" s="233"/>
      <c r="AXV13" s="233"/>
      <c r="AXW13" s="233"/>
      <c r="AXX13" s="233"/>
      <c r="AXY13" s="234"/>
      <c r="AXZ13" s="232" t="s">
        <v>37</v>
      </c>
      <c r="AYA13" s="233"/>
      <c r="AYB13" s="233"/>
      <c r="AYC13" s="233"/>
      <c r="AYD13" s="233"/>
      <c r="AYE13" s="233"/>
      <c r="AYF13" s="233"/>
      <c r="AYG13" s="233"/>
      <c r="AYH13" s="233"/>
      <c r="AYI13" s="233"/>
      <c r="AYJ13" s="233"/>
      <c r="AYK13" s="233"/>
      <c r="AYL13" s="233"/>
      <c r="AYM13" s="233"/>
      <c r="AYN13" s="233"/>
      <c r="AYO13" s="233"/>
      <c r="AYP13" s="233"/>
      <c r="AYQ13" s="233"/>
      <c r="AYR13" s="233"/>
      <c r="AYS13" s="233"/>
      <c r="AYT13" s="233"/>
      <c r="AYU13" s="233"/>
      <c r="AYV13" s="233"/>
      <c r="AYW13" s="233"/>
      <c r="AYX13" s="233"/>
      <c r="AYY13" s="233"/>
      <c r="AYZ13" s="233"/>
      <c r="AZA13" s="233"/>
      <c r="AZB13" s="233"/>
      <c r="AZC13" s="233"/>
      <c r="AZD13" s="233"/>
      <c r="AZE13" s="233"/>
      <c r="AZF13" s="233"/>
      <c r="AZG13" s="233"/>
      <c r="AZH13" s="233"/>
      <c r="AZI13" s="233"/>
      <c r="AZJ13" s="233"/>
      <c r="AZK13" s="233"/>
      <c r="AZL13" s="233"/>
      <c r="AZM13" s="233"/>
      <c r="AZN13" s="233"/>
      <c r="AZO13" s="233"/>
      <c r="AZP13" s="233"/>
      <c r="AZQ13" s="233"/>
      <c r="AZR13" s="233"/>
      <c r="AZS13" s="233"/>
      <c r="AZT13" s="233"/>
      <c r="AZU13" s="233"/>
      <c r="AZV13" s="233"/>
      <c r="AZW13" s="233"/>
      <c r="AZX13" s="233"/>
      <c r="AZY13" s="233"/>
      <c r="AZZ13" s="233"/>
      <c r="BAA13" s="233"/>
      <c r="BAB13" s="233"/>
      <c r="BAC13" s="233"/>
      <c r="BAD13" s="233"/>
      <c r="BAE13" s="233"/>
      <c r="BAF13" s="233"/>
      <c r="BAG13" s="234"/>
      <c r="BAH13" s="232" t="s">
        <v>38</v>
      </c>
      <c r="BAI13" s="233"/>
      <c r="BAJ13" s="233"/>
      <c r="BAK13" s="233"/>
      <c r="BAL13" s="233"/>
      <c r="BAM13" s="233"/>
      <c r="BAN13" s="233"/>
      <c r="BAO13" s="233"/>
      <c r="BAP13" s="233"/>
      <c r="BAQ13" s="233"/>
      <c r="BAR13" s="233"/>
      <c r="BAS13" s="233"/>
      <c r="BAT13" s="233"/>
      <c r="BAU13" s="233"/>
      <c r="BAV13" s="233"/>
      <c r="BAW13" s="233"/>
      <c r="BAX13" s="233"/>
      <c r="BAY13" s="233"/>
      <c r="BAZ13" s="233"/>
      <c r="BBA13" s="233"/>
      <c r="BBB13" s="233"/>
      <c r="BBC13" s="233"/>
      <c r="BBD13" s="233"/>
      <c r="BBE13" s="233"/>
      <c r="BBF13" s="233"/>
      <c r="BBG13" s="233"/>
      <c r="BBH13" s="233"/>
      <c r="BBI13" s="233"/>
      <c r="BBJ13" s="233"/>
      <c r="BBK13" s="233"/>
      <c r="BBL13" s="233"/>
      <c r="BBM13" s="233"/>
      <c r="BBN13" s="233"/>
      <c r="BBO13" s="233"/>
      <c r="BBP13" s="233"/>
      <c r="BBQ13" s="233"/>
      <c r="BBR13" s="233"/>
      <c r="BBS13" s="233"/>
      <c r="BBT13" s="233"/>
      <c r="BBU13" s="233"/>
      <c r="BBV13" s="233"/>
      <c r="BBW13" s="233"/>
      <c r="BBX13" s="233"/>
      <c r="BBY13" s="233"/>
      <c r="BBZ13" s="233"/>
      <c r="BCA13" s="233"/>
      <c r="BCB13" s="233"/>
      <c r="BCC13" s="233"/>
      <c r="BCD13" s="233"/>
      <c r="BCE13" s="233"/>
      <c r="BCF13" s="233"/>
      <c r="BCG13" s="233"/>
      <c r="BCH13" s="233"/>
      <c r="BCI13" s="233"/>
      <c r="BCJ13" s="233"/>
      <c r="BCK13" s="233"/>
      <c r="BCL13" s="233"/>
      <c r="BCM13" s="233"/>
      <c r="BCN13" s="233"/>
      <c r="BCO13" s="234"/>
      <c r="BCP13" s="232" t="s">
        <v>39</v>
      </c>
      <c r="BCQ13" s="233"/>
      <c r="BCR13" s="233"/>
      <c r="BCS13" s="233"/>
      <c r="BCT13" s="233"/>
      <c r="BCU13" s="233"/>
      <c r="BCV13" s="233"/>
      <c r="BCW13" s="233"/>
      <c r="BCX13" s="233"/>
      <c r="BCY13" s="233"/>
      <c r="BCZ13" s="233"/>
      <c r="BDA13" s="233"/>
      <c r="BDB13" s="233"/>
      <c r="BDC13" s="233"/>
      <c r="BDD13" s="233"/>
      <c r="BDE13" s="233"/>
      <c r="BDF13" s="233"/>
      <c r="BDG13" s="233"/>
      <c r="BDH13" s="233"/>
      <c r="BDI13" s="233"/>
      <c r="BDJ13" s="233"/>
      <c r="BDK13" s="233"/>
      <c r="BDL13" s="233"/>
      <c r="BDM13" s="233"/>
      <c r="BDN13" s="233"/>
      <c r="BDO13" s="233"/>
      <c r="BDP13" s="233"/>
      <c r="BDQ13" s="233"/>
      <c r="BDR13" s="233"/>
      <c r="BDS13" s="233"/>
      <c r="BDT13" s="233"/>
      <c r="BDU13" s="233"/>
      <c r="BDV13" s="233"/>
      <c r="BDW13" s="233"/>
      <c r="BDX13" s="233"/>
      <c r="BDY13" s="233"/>
      <c r="BDZ13" s="233"/>
      <c r="BEA13" s="233"/>
      <c r="BEB13" s="233"/>
      <c r="BEC13" s="233"/>
      <c r="BED13" s="233"/>
      <c r="BEE13" s="233"/>
      <c r="BEF13" s="233"/>
      <c r="BEG13" s="233"/>
      <c r="BEH13" s="233"/>
      <c r="BEI13" s="233"/>
      <c r="BEJ13" s="233"/>
      <c r="BEK13" s="233"/>
      <c r="BEL13" s="233"/>
      <c r="BEM13" s="233"/>
      <c r="BEN13" s="233"/>
      <c r="BEO13" s="233"/>
      <c r="BEP13" s="233"/>
      <c r="BEQ13" s="233"/>
      <c r="BER13" s="233"/>
      <c r="BES13" s="233"/>
      <c r="BET13" s="233"/>
      <c r="BEU13" s="233"/>
      <c r="BEV13" s="233"/>
      <c r="BEW13" s="234"/>
      <c r="BEX13" s="232" t="s">
        <v>40</v>
      </c>
      <c r="BEY13" s="233"/>
      <c r="BEZ13" s="233"/>
      <c r="BFA13" s="233"/>
      <c r="BFB13" s="233"/>
      <c r="BFC13" s="233"/>
      <c r="BFD13" s="233"/>
      <c r="BFE13" s="233"/>
      <c r="BFF13" s="233"/>
      <c r="BFG13" s="233"/>
      <c r="BFH13" s="233"/>
      <c r="BFI13" s="233"/>
      <c r="BFJ13" s="233"/>
      <c r="BFK13" s="233"/>
      <c r="BFL13" s="233"/>
      <c r="BFM13" s="233"/>
      <c r="BFN13" s="233"/>
      <c r="BFO13" s="233"/>
      <c r="BFP13" s="233"/>
      <c r="BFQ13" s="233"/>
      <c r="BFR13" s="233"/>
      <c r="BFS13" s="233"/>
      <c r="BFT13" s="233"/>
      <c r="BFU13" s="233"/>
      <c r="BFV13" s="233"/>
      <c r="BFW13" s="233"/>
      <c r="BFX13" s="233"/>
      <c r="BFY13" s="233"/>
      <c r="BFZ13" s="233"/>
      <c r="BGA13" s="233"/>
      <c r="BGB13" s="233"/>
      <c r="BGC13" s="233"/>
      <c r="BGD13" s="233"/>
      <c r="BGE13" s="233"/>
      <c r="BGF13" s="233"/>
      <c r="BGG13" s="233"/>
      <c r="BGH13" s="233"/>
      <c r="BGI13" s="233"/>
      <c r="BGJ13" s="233"/>
      <c r="BGK13" s="233"/>
      <c r="BGL13" s="233"/>
      <c r="BGM13" s="233"/>
      <c r="BGN13" s="233"/>
      <c r="BGO13" s="233"/>
      <c r="BGP13" s="233"/>
      <c r="BGQ13" s="233"/>
      <c r="BGR13" s="233"/>
      <c r="BGS13" s="233"/>
      <c r="BGT13" s="233"/>
      <c r="BGU13" s="233"/>
      <c r="BGV13" s="233"/>
      <c r="BGW13" s="233"/>
      <c r="BGX13" s="233"/>
      <c r="BGY13" s="233"/>
      <c r="BGZ13" s="233"/>
      <c r="BHA13" s="233"/>
      <c r="BHB13" s="233"/>
      <c r="BHC13" s="233"/>
      <c r="BHD13" s="233"/>
      <c r="BHE13" s="234"/>
      <c r="BHF13" s="232" t="s">
        <v>107</v>
      </c>
      <c r="BHG13" s="233"/>
      <c r="BHH13" s="233"/>
      <c r="BHI13" s="233"/>
      <c r="BHJ13" s="233"/>
      <c r="BHK13" s="233"/>
      <c r="BHL13" s="233"/>
      <c r="BHM13" s="233"/>
      <c r="BHN13" s="233"/>
      <c r="BHO13" s="233"/>
      <c r="BHP13" s="233"/>
      <c r="BHQ13" s="233"/>
      <c r="BHR13" s="233"/>
      <c r="BHS13" s="233"/>
      <c r="BHT13" s="233"/>
      <c r="BHU13" s="233"/>
      <c r="BHV13" s="233"/>
      <c r="BHW13" s="233"/>
      <c r="BHX13" s="233"/>
      <c r="BHY13" s="233"/>
      <c r="BHZ13" s="233"/>
      <c r="BIA13" s="233"/>
      <c r="BIB13" s="233"/>
      <c r="BIC13" s="233"/>
      <c r="BID13" s="233"/>
      <c r="BIE13" s="233"/>
      <c r="BIF13" s="233"/>
      <c r="BIG13" s="233"/>
      <c r="BIH13" s="233"/>
      <c r="BII13" s="233"/>
      <c r="BIJ13" s="233"/>
      <c r="BIK13" s="233"/>
      <c r="BIL13" s="233"/>
      <c r="BIM13" s="233"/>
      <c r="BIN13" s="233"/>
      <c r="BIO13" s="233"/>
      <c r="BIP13" s="233"/>
      <c r="BIQ13" s="233"/>
      <c r="BIR13" s="233"/>
      <c r="BIS13" s="233"/>
      <c r="BIT13" s="233"/>
      <c r="BIU13" s="233"/>
      <c r="BIV13" s="233"/>
      <c r="BIW13" s="233"/>
      <c r="BIX13" s="233"/>
      <c r="BIY13" s="233"/>
      <c r="BIZ13" s="233"/>
      <c r="BJA13" s="233"/>
      <c r="BJB13" s="233"/>
      <c r="BJC13" s="233"/>
      <c r="BJD13" s="233"/>
      <c r="BJE13" s="233"/>
      <c r="BJF13" s="233"/>
      <c r="BJG13" s="233"/>
      <c r="BJH13" s="233"/>
      <c r="BJI13" s="233"/>
      <c r="BJJ13" s="233"/>
      <c r="BJK13" s="233"/>
      <c r="BJL13" s="233"/>
      <c r="BJM13" s="234"/>
    </row>
    <row r="14" spans="1:1625" ht="12.75" customHeight="1" thickBot="1" x14ac:dyDescent="0.35">
      <c r="B14" s="51"/>
      <c r="C14" s="243"/>
      <c r="D14" s="118"/>
      <c r="E14" s="241"/>
      <c r="F14" s="81"/>
      <c r="G14" s="82"/>
      <c r="H14" s="82"/>
      <c r="I14" s="82"/>
      <c r="J14" s="223" t="s">
        <v>41</v>
      </c>
      <c r="K14" s="223"/>
      <c r="L14" s="223"/>
      <c r="M14" s="223"/>
      <c r="N14" s="82"/>
      <c r="O14" s="82"/>
      <c r="P14" s="224" t="s">
        <v>42</v>
      </c>
      <c r="Q14" s="224"/>
      <c r="R14" s="224"/>
      <c r="S14" s="224"/>
      <c r="T14" s="102"/>
      <c r="U14" s="102"/>
      <c r="V14" s="223" t="s">
        <v>43</v>
      </c>
      <c r="W14" s="223"/>
      <c r="X14" s="223"/>
      <c r="Y14" s="223"/>
      <c r="Z14" s="82"/>
      <c r="AA14" s="82"/>
      <c r="AB14" s="224" t="s">
        <v>44</v>
      </c>
      <c r="AC14" s="224"/>
      <c r="AD14" s="224"/>
      <c r="AE14" s="224"/>
      <c r="AF14" s="102"/>
      <c r="AG14" s="102"/>
      <c r="AH14" s="223" t="s">
        <v>45</v>
      </c>
      <c r="AI14" s="223"/>
      <c r="AJ14" s="223"/>
      <c r="AK14" s="223"/>
      <c r="AL14" s="82"/>
      <c r="AM14" s="82"/>
      <c r="AN14" s="224" t="s">
        <v>46</v>
      </c>
      <c r="AO14" s="224"/>
      <c r="AP14" s="224"/>
      <c r="AQ14" s="224"/>
      <c r="AR14" s="102"/>
      <c r="AS14" s="102"/>
      <c r="AT14" s="223" t="s">
        <v>47</v>
      </c>
      <c r="AU14" s="223"/>
      <c r="AV14" s="223"/>
      <c r="AW14" s="223"/>
      <c r="AX14" s="82"/>
      <c r="AY14" s="82"/>
      <c r="AZ14" s="224" t="s">
        <v>48</v>
      </c>
      <c r="BA14" s="224"/>
      <c r="BB14" s="224"/>
      <c r="BC14" s="224"/>
      <c r="BD14" s="102"/>
      <c r="BE14" s="102"/>
      <c r="BF14" s="223" t="s">
        <v>49</v>
      </c>
      <c r="BG14" s="223"/>
      <c r="BH14" s="223"/>
      <c r="BI14" s="223"/>
      <c r="BJ14" s="82"/>
      <c r="BK14" s="82"/>
      <c r="BL14" s="82"/>
      <c r="BM14" s="83"/>
      <c r="BN14" s="81"/>
      <c r="BO14" s="82"/>
      <c r="BP14" s="82"/>
      <c r="BQ14" s="82"/>
      <c r="BR14" s="223" t="s">
        <v>41</v>
      </c>
      <c r="BS14" s="223"/>
      <c r="BT14" s="223"/>
      <c r="BU14" s="223"/>
      <c r="BV14" s="82"/>
      <c r="BW14" s="82"/>
      <c r="BX14" s="224" t="s">
        <v>42</v>
      </c>
      <c r="BY14" s="224"/>
      <c r="BZ14" s="224"/>
      <c r="CA14" s="224"/>
      <c r="CB14" s="102"/>
      <c r="CC14" s="102"/>
      <c r="CD14" s="223" t="s">
        <v>43</v>
      </c>
      <c r="CE14" s="223"/>
      <c r="CF14" s="223"/>
      <c r="CG14" s="223"/>
      <c r="CH14" s="82"/>
      <c r="CI14" s="82"/>
      <c r="CJ14" s="224" t="s">
        <v>44</v>
      </c>
      <c r="CK14" s="224"/>
      <c r="CL14" s="224"/>
      <c r="CM14" s="224"/>
      <c r="CN14" s="102"/>
      <c r="CO14" s="102"/>
      <c r="CP14" s="223" t="s">
        <v>45</v>
      </c>
      <c r="CQ14" s="223"/>
      <c r="CR14" s="223"/>
      <c r="CS14" s="223"/>
      <c r="CT14" s="82"/>
      <c r="CU14" s="82"/>
      <c r="CV14" s="224" t="s">
        <v>46</v>
      </c>
      <c r="CW14" s="224"/>
      <c r="CX14" s="224"/>
      <c r="CY14" s="224"/>
      <c r="CZ14" s="102"/>
      <c r="DA14" s="102"/>
      <c r="DB14" s="223" t="s">
        <v>47</v>
      </c>
      <c r="DC14" s="223"/>
      <c r="DD14" s="223"/>
      <c r="DE14" s="223"/>
      <c r="DF14" s="82"/>
      <c r="DG14" s="82"/>
      <c r="DH14" s="224" t="s">
        <v>48</v>
      </c>
      <c r="DI14" s="224"/>
      <c r="DJ14" s="224"/>
      <c r="DK14" s="224"/>
      <c r="DL14" s="102"/>
      <c r="DM14" s="102"/>
      <c r="DN14" s="223" t="s">
        <v>49</v>
      </c>
      <c r="DO14" s="223"/>
      <c r="DP14" s="223"/>
      <c r="DQ14" s="223"/>
      <c r="DR14" s="82"/>
      <c r="DS14" s="82"/>
      <c r="DT14" s="82"/>
      <c r="DU14" s="83"/>
      <c r="DV14" s="81"/>
      <c r="DW14" s="82"/>
      <c r="DX14" s="82"/>
      <c r="DY14" s="82"/>
      <c r="DZ14" s="223" t="s">
        <v>41</v>
      </c>
      <c r="EA14" s="223"/>
      <c r="EB14" s="223"/>
      <c r="EC14" s="223"/>
      <c r="ED14" s="82"/>
      <c r="EE14" s="82"/>
      <c r="EF14" s="224" t="s">
        <v>42</v>
      </c>
      <c r="EG14" s="224"/>
      <c r="EH14" s="224"/>
      <c r="EI14" s="224"/>
      <c r="EJ14" s="102"/>
      <c r="EK14" s="102"/>
      <c r="EL14" s="223" t="s">
        <v>43</v>
      </c>
      <c r="EM14" s="223"/>
      <c r="EN14" s="223"/>
      <c r="EO14" s="223"/>
      <c r="EP14" s="82"/>
      <c r="EQ14" s="82"/>
      <c r="ER14" s="224" t="s">
        <v>44</v>
      </c>
      <c r="ES14" s="224"/>
      <c r="ET14" s="224"/>
      <c r="EU14" s="224"/>
      <c r="EV14" s="102"/>
      <c r="EW14" s="102"/>
      <c r="EX14" s="223" t="s">
        <v>45</v>
      </c>
      <c r="EY14" s="223"/>
      <c r="EZ14" s="223"/>
      <c r="FA14" s="223"/>
      <c r="FB14" s="82"/>
      <c r="FC14" s="82"/>
      <c r="FD14" s="224" t="s">
        <v>46</v>
      </c>
      <c r="FE14" s="224"/>
      <c r="FF14" s="224"/>
      <c r="FG14" s="224"/>
      <c r="FH14" s="102"/>
      <c r="FI14" s="102"/>
      <c r="FJ14" s="223" t="s">
        <v>47</v>
      </c>
      <c r="FK14" s="223"/>
      <c r="FL14" s="223"/>
      <c r="FM14" s="223"/>
      <c r="FN14" s="82"/>
      <c r="FO14" s="82"/>
      <c r="FP14" s="224" t="s">
        <v>48</v>
      </c>
      <c r="FQ14" s="224"/>
      <c r="FR14" s="224"/>
      <c r="FS14" s="224"/>
      <c r="FT14" s="102"/>
      <c r="FU14" s="102"/>
      <c r="FV14" s="223" t="s">
        <v>49</v>
      </c>
      <c r="FW14" s="223"/>
      <c r="FX14" s="223"/>
      <c r="FY14" s="223"/>
      <c r="FZ14" s="82"/>
      <c r="GA14" s="82"/>
      <c r="GB14" s="82"/>
      <c r="GC14" s="83"/>
      <c r="GD14" s="81"/>
      <c r="GE14" s="82"/>
      <c r="GF14" s="82"/>
      <c r="GG14" s="82"/>
      <c r="GH14" s="223" t="s">
        <v>41</v>
      </c>
      <c r="GI14" s="223"/>
      <c r="GJ14" s="223"/>
      <c r="GK14" s="223"/>
      <c r="GL14" s="82"/>
      <c r="GM14" s="82"/>
      <c r="GN14" s="224" t="s">
        <v>42</v>
      </c>
      <c r="GO14" s="224"/>
      <c r="GP14" s="224"/>
      <c r="GQ14" s="224"/>
      <c r="GR14" s="102"/>
      <c r="GS14" s="102"/>
      <c r="GT14" s="223" t="s">
        <v>43</v>
      </c>
      <c r="GU14" s="223"/>
      <c r="GV14" s="223"/>
      <c r="GW14" s="223"/>
      <c r="GX14" s="82"/>
      <c r="GY14" s="82"/>
      <c r="GZ14" s="224" t="s">
        <v>44</v>
      </c>
      <c r="HA14" s="224"/>
      <c r="HB14" s="224"/>
      <c r="HC14" s="224"/>
      <c r="HD14" s="102"/>
      <c r="HE14" s="102"/>
      <c r="HF14" s="223" t="s">
        <v>45</v>
      </c>
      <c r="HG14" s="223"/>
      <c r="HH14" s="223"/>
      <c r="HI14" s="223"/>
      <c r="HJ14" s="82"/>
      <c r="HK14" s="82"/>
      <c r="HL14" s="224" t="s">
        <v>46</v>
      </c>
      <c r="HM14" s="224"/>
      <c r="HN14" s="224"/>
      <c r="HO14" s="224"/>
      <c r="HP14" s="102"/>
      <c r="HQ14" s="102"/>
      <c r="HR14" s="223" t="s">
        <v>47</v>
      </c>
      <c r="HS14" s="223"/>
      <c r="HT14" s="223"/>
      <c r="HU14" s="223"/>
      <c r="HV14" s="82"/>
      <c r="HW14" s="82"/>
      <c r="HX14" s="224" t="s">
        <v>48</v>
      </c>
      <c r="HY14" s="224"/>
      <c r="HZ14" s="224"/>
      <c r="IA14" s="224"/>
      <c r="IB14" s="102"/>
      <c r="IC14" s="102"/>
      <c r="ID14" s="223" t="s">
        <v>49</v>
      </c>
      <c r="IE14" s="223"/>
      <c r="IF14" s="223"/>
      <c r="IG14" s="223"/>
      <c r="IH14" s="82"/>
      <c r="II14" s="82"/>
      <c r="IJ14" s="82"/>
      <c r="IK14" s="83"/>
      <c r="IL14" s="81"/>
      <c r="IM14" s="82"/>
      <c r="IN14" s="82"/>
      <c r="IO14" s="82"/>
      <c r="IP14" s="223" t="s">
        <v>41</v>
      </c>
      <c r="IQ14" s="223"/>
      <c r="IR14" s="223"/>
      <c r="IS14" s="223"/>
      <c r="IT14" s="82"/>
      <c r="IU14" s="82"/>
      <c r="IV14" s="224" t="s">
        <v>42</v>
      </c>
      <c r="IW14" s="224"/>
      <c r="IX14" s="224"/>
      <c r="IY14" s="224"/>
      <c r="IZ14" s="102"/>
      <c r="JA14" s="102"/>
      <c r="JB14" s="223" t="s">
        <v>43</v>
      </c>
      <c r="JC14" s="223"/>
      <c r="JD14" s="223"/>
      <c r="JE14" s="223"/>
      <c r="JF14" s="82"/>
      <c r="JG14" s="82"/>
      <c r="JH14" s="224" t="s">
        <v>44</v>
      </c>
      <c r="JI14" s="224"/>
      <c r="JJ14" s="224"/>
      <c r="JK14" s="224"/>
      <c r="JL14" s="102"/>
      <c r="JM14" s="102"/>
      <c r="JN14" s="223" t="s">
        <v>45</v>
      </c>
      <c r="JO14" s="223"/>
      <c r="JP14" s="223"/>
      <c r="JQ14" s="223"/>
      <c r="JR14" s="82"/>
      <c r="JS14" s="82"/>
      <c r="JT14" s="224" t="s">
        <v>46</v>
      </c>
      <c r="JU14" s="224"/>
      <c r="JV14" s="224"/>
      <c r="JW14" s="224"/>
      <c r="JX14" s="102"/>
      <c r="JY14" s="102"/>
      <c r="JZ14" s="223" t="s">
        <v>47</v>
      </c>
      <c r="KA14" s="223"/>
      <c r="KB14" s="223"/>
      <c r="KC14" s="223"/>
      <c r="KD14" s="82"/>
      <c r="KE14" s="82"/>
      <c r="KF14" s="224" t="s">
        <v>48</v>
      </c>
      <c r="KG14" s="224"/>
      <c r="KH14" s="224"/>
      <c r="KI14" s="224"/>
      <c r="KJ14" s="102"/>
      <c r="KK14" s="102"/>
      <c r="KL14" s="223" t="s">
        <v>49</v>
      </c>
      <c r="KM14" s="223"/>
      <c r="KN14" s="223"/>
      <c r="KO14" s="223"/>
      <c r="KP14" s="82"/>
      <c r="KQ14" s="82"/>
      <c r="KR14" s="82"/>
      <c r="KS14" s="83"/>
      <c r="KT14" s="81"/>
      <c r="KU14" s="82"/>
      <c r="KV14" s="82"/>
      <c r="KW14" s="82"/>
      <c r="KX14" s="223" t="s">
        <v>41</v>
      </c>
      <c r="KY14" s="223"/>
      <c r="KZ14" s="223"/>
      <c r="LA14" s="223"/>
      <c r="LB14" s="82"/>
      <c r="LC14" s="82"/>
      <c r="LD14" s="224" t="s">
        <v>42</v>
      </c>
      <c r="LE14" s="224"/>
      <c r="LF14" s="224"/>
      <c r="LG14" s="224"/>
      <c r="LH14" s="102"/>
      <c r="LI14" s="102"/>
      <c r="LJ14" s="223" t="s">
        <v>43</v>
      </c>
      <c r="LK14" s="223"/>
      <c r="LL14" s="223"/>
      <c r="LM14" s="223"/>
      <c r="LN14" s="82"/>
      <c r="LO14" s="82"/>
      <c r="LP14" s="224" t="s">
        <v>44</v>
      </c>
      <c r="LQ14" s="224"/>
      <c r="LR14" s="224"/>
      <c r="LS14" s="224"/>
      <c r="LT14" s="102"/>
      <c r="LU14" s="102"/>
      <c r="LV14" s="223" t="s">
        <v>45</v>
      </c>
      <c r="LW14" s="223"/>
      <c r="LX14" s="223"/>
      <c r="LY14" s="223"/>
      <c r="LZ14" s="82"/>
      <c r="MA14" s="82"/>
      <c r="MB14" s="224" t="s">
        <v>46</v>
      </c>
      <c r="MC14" s="224"/>
      <c r="MD14" s="224"/>
      <c r="ME14" s="224"/>
      <c r="MF14" s="102"/>
      <c r="MG14" s="102"/>
      <c r="MH14" s="223" t="s">
        <v>47</v>
      </c>
      <c r="MI14" s="223"/>
      <c r="MJ14" s="223"/>
      <c r="MK14" s="223"/>
      <c r="ML14" s="82"/>
      <c r="MM14" s="82"/>
      <c r="MN14" s="224" t="s">
        <v>48</v>
      </c>
      <c r="MO14" s="224"/>
      <c r="MP14" s="224"/>
      <c r="MQ14" s="224"/>
      <c r="MR14" s="102"/>
      <c r="MS14" s="102"/>
      <c r="MT14" s="223" t="s">
        <v>49</v>
      </c>
      <c r="MU14" s="223"/>
      <c r="MV14" s="223"/>
      <c r="MW14" s="223"/>
      <c r="MX14" s="82"/>
      <c r="MY14" s="82"/>
      <c r="MZ14" s="82"/>
      <c r="NA14" s="83"/>
      <c r="NB14" s="81"/>
      <c r="NC14" s="82"/>
      <c r="ND14" s="82"/>
      <c r="NE14" s="82"/>
      <c r="NF14" s="223" t="s">
        <v>41</v>
      </c>
      <c r="NG14" s="223"/>
      <c r="NH14" s="223"/>
      <c r="NI14" s="223"/>
      <c r="NJ14" s="82"/>
      <c r="NK14" s="82"/>
      <c r="NL14" s="224" t="s">
        <v>42</v>
      </c>
      <c r="NM14" s="224"/>
      <c r="NN14" s="224"/>
      <c r="NO14" s="224"/>
      <c r="NP14" s="102"/>
      <c r="NQ14" s="102"/>
      <c r="NR14" s="223" t="s">
        <v>43</v>
      </c>
      <c r="NS14" s="223"/>
      <c r="NT14" s="223"/>
      <c r="NU14" s="223"/>
      <c r="NV14" s="82"/>
      <c r="NW14" s="82"/>
      <c r="NX14" s="224" t="s">
        <v>44</v>
      </c>
      <c r="NY14" s="224"/>
      <c r="NZ14" s="224"/>
      <c r="OA14" s="224"/>
      <c r="OB14" s="102"/>
      <c r="OC14" s="102"/>
      <c r="OD14" s="223" t="s">
        <v>45</v>
      </c>
      <c r="OE14" s="223"/>
      <c r="OF14" s="223"/>
      <c r="OG14" s="223"/>
      <c r="OH14" s="82"/>
      <c r="OI14" s="82"/>
      <c r="OJ14" s="224" t="s">
        <v>46</v>
      </c>
      <c r="OK14" s="224"/>
      <c r="OL14" s="224"/>
      <c r="OM14" s="224"/>
      <c r="ON14" s="102"/>
      <c r="OO14" s="102"/>
      <c r="OP14" s="223" t="s">
        <v>47</v>
      </c>
      <c r="OQ14" s="223"/>
      <c r="OR14" s="223"/>
      <c r="OS14" s="223"/>
      <c r="OT14" s="82"/>
      <c r="OU14" s="82"/>
      <c r="OV14" s="224" t="s">
        <v>48</v>
      </c>
      <c r="OW14" s="224"/>
      <c r="OX14" s="224"/>
      <c r="OY14" s="224"/>
      <c r="OZ14" s="102"/>
      <c r="PA14" s="102"/>
      <c r="PB14" s="223" t="s">
        <v>49</v>
      </c>
      <c r="PC14" s="223"/>
      <c r="PD14" s="223"/>
      <c r="PE14" s="223"/>
      <c r="PF14" s="82"/>
      <c r="PG14" s="82"/>
      <c r="PH14" s="82"/>
      <c r="PI14" s="83"/>
      <c r="PJ14" s="81"/>
      <c r="PK14" s="82"/>
      <c r="PL14" s="82"/>
      <c r="PM14" s="82"/>
      <c r="PN14" s="223" t="s">
        <v>41</v>
      </c>
      <c r="PO14" s="223"/>
      <c r="PP14" s="223"/>
      <c r="PQ14" s="223"/>
      <c r="PR14" s="82"/>
      <c r="PS14" s="82"/>
      <c r="PT14" s="224" t="s">
        <v>42</v>
      </c>
      <c r="PU14" s="224"/>
      <c r="PV14" s="224"/>
      <c r="PW14" s="224"/>
      <c r="PX14" s="102"/>
      <c r="PY14" s="102"/>
      <c r="PZ14" s="223" t="s">
        <v>43</v>
      </c>
      <c r="QA14" s="223"/>
      <c r="QB14" s="223"/>
      <c r="QC14" s="223"/>
      <c r="QD14" s="82"/>
      <c r="QE14" s="82"/>
      <c r="QF14" s="224" t="s">
        <v>44</v>
      </c>
      <c r="QG14" s="224"/>
      <c r="QH14" s="224"/>
      <c r="QI14" s="224"/>
      <c r="QJ14" s="102"/>
      <c r="QK14" s="102"/>
      <c r="QL14" s="223" t="s">
        <v>45</v>
      </c>
      <c r="QM14" s="223"/>
      <c r="QN14" s="223"/>
      <c r="QO14" s="223"/>
      <c r="QP14" s="82"/>
      <c r="QQ14" s="82"/>
      <c r="QR14" s="224" t="s">
        <v>46</v>
      </c>
      <c r="QS14" s="224"/>
      <c r="QT14" s="224"/>
      <c r="QU14" s="224"/>
      <c r="QV14" s="102"/>
      <c r="QW14" s="102"/>
      <c r="QX14" s="223" t="s">
        <v>47</v>
      </c>
      <c r="QY14" s="223"/>
      <c r="QZ14" s="223"/>
      <c r="RA14" s="223"/>
      <c r="RB14" s="82"/>
      <c r="RC14" s="82"/>
      <c r="RD14" s="224" t="s">
        <v>48</v>
      </c>
      <c r="RE14" s="224"/>
      <c r="RF14" s="224"/>
      <c r="RG14" s="224"/>
      <c r="RH14" s="102"/>
      <c r="RI14" s="102"/>
      <c r="RJ14" s="223" t="s">
        <v>49</v>
      </c>
      <c r="RK14" s="223"/>
      <c r="RL14" s="223"/>
      <c r="RM14" s="223"/>
      <c r="RN14" s="82"/>
      <c r="RO14" s="82"/>
      <c r="RP14" s="82"/>
      <c r="RQ14" s="83"/>
      <c r="RR14" s="81"/>
      <c r="RS14" s="82"/>
      <c r="RT14" s="82"/>
      <c r="RU14" s="82"/>
      <c r="RV14" s="223" t="s">
        <v>41</v>
      </c>
      <c r="RW14" s="223"/>
      <c r="RX14" s="223"/>
      <c r="RY14" s="223"/>
      <c r="RZ14" s="82"/>
      <c r="SA14" s="82"/>
      <c r="SB14" s="224" t="s">
        <v>42</v>
      </c>
      <c r="SC14" s="224"/>
      <c r="SD14" s="224"/>
      <c r="SE14" s="224"/>
      <c r="SF14" s="102"/>
      <c r="SG14" s="102"/>
      <c r="SH14" s="223" t="s">
        <v>43</v>
      </c>
      <c r="SI14" s="223"/>
      <c r="SJ14" s="223"/>
      <c r="SK14" s="223"/>
      <c r="SL14" s="82"/>
      <c r="SM14" s="82"/>
      <c r="SN14" s="224" t="s">
        <v>44</v>
      </c>
      <c r="SO14" s="224"/>
      <c r="SP14" s="224"/>
      <c r="SQ14" s="224"/>
      <c r="SR14" s="102"/>
      <c r="SS14" s="102"/>
      <c r="ST14" s="223" t="s">
        <v>45</v>
      </c>
      <c r="SU14" s="223"/>
      <c r="SV14" s="223"/>
      <c r="SW14" s="223"/>
      <c r="SX14" s="82"/>
      <c r="SY14" s="82"/>
      <c r="SZ14" s="224" t="s">
        <v>46</v>
      </c>
      <c r="TA14" s="224"/>
      <c r="TB14" s="224"/>
      <c r="TC14" s="224"/>
      <c r="TD14" s="102"/>
      <c r="TE14" s="102"/>
      <c r="TF14" s="223" t="s">
        <v>47</v>
      </c>
      <c r="TG14" s="223"/>
      <c r="TH14" s="223"/>
      <c r="TI14" s="223"/>
      <c r="TJ14" s="82"/>
      <c r="TK14" s="82"/>
      <c r="TL14" s="224" t="s">
        <v>48</v>
      </c>
      <c r="TM14" s="224"/>
      <c r="TN14" s="224"/>
      <c r="TO14" s="224"/>
      <c r="TP14" s="102"/>
      <c r="TQ14" s="102"/>
      <c r="TR14" s="223" t="s">
        <v>49</v>
      </c>
      <c r="TS14" s="223"/>
      <c r="TT14" s="223"/>
      <c r="TU14" s="223"/>
      <c r="TV14" s="82"/>
      <c r="TW14" s="82"/>
      <c r="TX14" s="82"/>
      <c r="TY14" s="83"/>
      <c r="TZ14" s="81"/>
      <c r="UA14" s="82"/>
      <c r="UB14" s="82"/>
      <c r="UC14" s="82"/>
      <c r="UD14" s="223" t="s">
        <v>41</v>
      </c>
      <c r="UE14" s="223"/>
      <c r="UF14" s="223"/>
      <c r="UG14" s="223"/>
      <c r="UH14" s="82"/>
      <c r="UI14" s="82"/>
      <c r="UJ14" s="224" t="s">
        <v>42</v>
      </c>
      <c r="UK14" s="224"/>
      <c r="UL14" s="224"/>
      <c r="UM14" s="224"/>
      <c r="UN14" s="102"/>
      <c r="UO14" s="102"/>
      <c r="UP14" s="223" t="s">
        <v>43</v>
      </c>
      <c r="UQ14" s="223"/>
      <c r="UR14" s="223"/>
      <c r="US14" s="223"/>
      <c r="UT14" s="82"/>
      <c r="UU14" s="82"/>
      <c r="UV14" s="224" t="s">
        <v>44</v>
      </c>
      <c r="UW14" s="224"/>
      <c r="UX14" s="224"/>
      <c r="UY14" s="224"/>
      <c r="UZ14" s="102"/>
      <c r="VA14" s="102"/>
      <c r="VB14" s="223" t="s">
        <v>45</v>
      </c>
      <c r="VC14" s="223"/>
      <c r="VD14" s="223"/>
      <c r="VE14" s="223"/>
      <c r="VF14" s="82"/>
      <c r="VG14" s="82"/>
      <c r="VH14" s="224" t="s">
        <v>46</v>
      </c>
      <c r="VI14" s="224"/>
      <c r="VJ14" s="224"/>
      <c r="VK14" s="224"/>
      <c r="VL14" s="102"/>
      <c r="VM14" s="102"/>
      <c r="VN14" s="223" t="s">
        <v>47</v>
      </c>
      <c r="VO14" s="223"/>
      <c r="VP14" s="223"/>
      <c r="VQ14" s="223"/>
      <c r="VR14" s="82"/>
      <c r="VS14" s="82"/>
      <c r="VT14" s="224" t="s">
        <v>48</v>
      </c>
      <c r="VU14" s="224"/>
      <c r="VV14" s="224"/>
      <c r="VW14" s="224"/>
      <c r="VX14" s="102"/>
      <c r="VY14" s="102"/>
      <c r="VZ14" s="223" t="s">
        <v>49</v>
      </c>
      <c r="WA14" s="223"/>
      <c r="WB14" s="223"/>
      <c r="WC14" s="223"/>
      <c r="WD14" s="82"/>
      <c r="WE14" s="82"/>
      <c r="WF14" s="82"/>
      <c r="WG14" s="83"/>
      <c r="WH14" s="81"/>
      <c r="WI14" s="82"/>
      <c r="WJ14" s="82"/>
      <c r="WK14" s="82"/>
      <c r="WL14" s="223" t="s">
        <v>41</v>
      </c>
      <c r="WM14" s="223"/>
      <c r="WN14" s="223"/>
      <c r="WO14" s="223"/>
      <c r="WP14" s="82"/>
      <c r="WQ14" s="82"/>
      <c r="WR14" s="224" t="s">
        <v>42</v>
      </c>
      <c r="WS14" s="224"/>
      <c r="WT14" s="224"/>
      <c r="WU14" s="224"/>
      <c r="WV14" s="102"/>
      <c r="WW14" s="102"/>
      <c r="WX14" s="223" t="s">
        <v>43</v>
      </c>
      <c r="WY14" s="223"/>
      <c r="WZ14" s="223"/>
      <c r="XA14" s="223"/>
      <c r="XB14" s="82"/>
      <c r="XC14" s="82"/>
      <c r="XD14" s="224" t="s">
        <v>44</v>
      </c>
      <c r="XE14" s="224"/>
      <c r="XF14" s="224"/>
      <c r="XG14" s="224"/>
      <c r="XH14" s="102"/>
      <c r="XI14" s="102"/>
      <c r="XJ14" s="223" t="s">
        <v>45</v>
      </c>
      <c r="XK14" s="223"/>
      <c r="XL14" s="223"/>
      <c r="XM14" s="223"/>
      <c r="XN14" s="82"/>
      <c r="XO14" s="82"/>
      <c r="XP14" s="224" t="s">
        <v>46</v>
      </c>
      <c r="XQ14" s="224"/>
      <c r="XR14" s="224"/>
      <c r="XS14" s="224"/>
      <c r="XT14" s="102"/>
      <c r="XU14" s="102"/>
      <c r="XV14" s="223" t="s">
        <v>47</v>
      </c>
      <c r="XW14" s="223"/>
      <c r="XX14" s="223"/>
      <c r="XY14" s="223"/>
      <c r="XZ14" s="82"/>
      <c r="YA14" s="82"/>
      <c r="YB14" s="224" t="s">
        <v>48</v>
      </c>
      <c r="YC14" s="224"/>
      <c r="YD14" s="224"/>
      <c r="YE14" s="224"/>
      <c r="YF14" s="102"/>
      <c r="YG14" s="102"/>
      <c r="YH14" s="223" t="s">
        <v>49</v>
      </c>
      <c r="YI14" s="223"/>
      <c r="YJ14" s="223"/>
      <c r="YK14" s="223"/>
      <c r="YL14" s="82"/>
      <c r="YM14" s="82"/>
      <c r="YN14" s="82"/>
      <c r="YO14" s="83"/>
      <c r="YP14" s="81"/>
      <c r="YQ14" s="82"/>
      <c r="YR14" s="82"/>
      <c r="YS14" s="82"/>
      <c r="YT14" s="223" t="s">
        <v>41</v>
      </c>
      <c r="YU14" s="223"/>
      <c r="YV14" s="223"/>
      <c r="YW14" s="223"/>
      <c r="YX14" s="82"/>
      <c r="YY14" s="82"/>
      <c r="YZ14" s="224" t="s">
        <v>42</v>
      </c>
      <c r="ZA14" s="224"/>
      <c r="ZB14" s="224"/>
      <c r="ZC14" s="224"/>
      <c r="ZD14" s="102"/>
      <c r="ZE14" s="102"/>
      <c r="ZF14" s="223" t="s">
        <v>43</v>
      </c>
      <c r="ZG14" s="223"/>
      <c r="ZH14" s="223"/>
      <c r="ZI14" s="223"/>
      <c r="ZJ14" s="82"/>
      <c r="ZK14" s="82"/>
      <c r="ZL14" s="224" t="s">
        <v>44</v>
      </c>
      <c r="ZM14" s="224"/>
      <c r="ZN14" s="224"/>
      <c r="ZO14" s="224"/>
      <c r="ZP14" s="102"/>
      <c r="ZQ14" s="102"/>
      <c r="ZR14" s="223" t="s">
        <v>45</v>
      </c>
      <c r="ZS14" s="223"/>
      <c r="ZT14" s="223"/>
      <c r="ZU14" s="223"/>
      <c r="ZV14" s="82"/>
      <c r="ZW14" s="82"/>
      <c r="ZX14" s="224" t="s">
        <v>46</v>
      </c>
      <c r="ZY14" s="224"/>
      <c r="ZZ14" s="224"/>
      <c r="AAA14" s="224"/>
      <c r="AAB14" s="102"/>
      <c r="AAC14" s="102"/>
      <c r="AAD14" s="223" t="s">
        <v>47</v>
      </c>
      <c r="AAE14" s="223"/>
      <c r="AAF14" s="223"/>
      <c r="AAG14" s="223"/>
      <c r="AAH14" s="82"/>
      <c r="AAI14" s="82"/>
      <c r="AAJ14" s="224" t="s">
        <v>48</v>
      </c>
      <c r="AAK14" s="224"/>
      <c r="AAL14" s="224"/>
      <c r="AAM14" s="224"/>
      <c r="AAN14" s="102"/>
      <c r="AAO14" s="102"/>
      <c r="AAP14" s="223" t="s">
        <v>49</v>
      </c>
      <c r="AAQ14" s="223"/>
      <c r="AAR14" s="223"/>
      <c r="AAS14" s="223"/>
      <c r="AAT14" s="82"/>
      <c r="AAU14" s="82"/>
      <c r="AAV14" s="82"/>
      <c r="AAW14" s="83"/>
      <c r="AAX14" s="81"/>
      <c r="AAY14" s="82"/>
      <c r="AAZ14" s="82"/>
      <c r="ABA14" s="82"/>
      <c r="ABB14" s="223" t="s">
        <v>41</v>
      </c>
      <c r="ABC14" s="223"/>
      <c r="ABD14" s="223"/>
      <c r="ABE14" s="223"/>
      <c r="ABF14" s="82"/>
      <c r="ABG14" s="82"/>
      <c r="ABH14" s="224" t="s">
        <v>42</v>
      </c>
      <c r="ABI14" s="224"/>
      <c r="ABJ14" s="224"/>
      <c r="ABK14" s="224"/>
      <c r="ABL14" s="102"/>
      <c r="ABM14" s="102"/>
      <c r="ABN14" s="223" t="s">
        <v>43</v>
      </c>
      <c r="ABO14" s="223"/>
      <c r="ABP14" s="223"/>
      <c r="ABQ14" s="223"/>
      <c r="ABR14" s="82"/>
      <c r="ABS14" s="82"/>
      <c r="ABT14" s="224" t="s">
        <v>44</v>
      </c>
      <c r="ABU14" s="224"/>
      <c r="ABV14" s="224"/>
      <c r="ABW14" s="224"/>
      <c r="ABX14" s="102"/>
      <c r="ABY14" s="102"/>
      <c r="ABZ14" s="223" t="s">
        <v>45</v>
      </c>
      <c r="ACA14" s="223"/>
      <c r="ACB14" s="223"/>
      <c r="ACC14" s="223"/>
      <c r="ACD14" s="82"/>
      <c r="ACE14" s="82"/>
      <c r="ACF14" s="224" t="s">
        <v>46</v>
      </c>
      <c r="ACG14" s="224"/>
      <c r="ACH14" s="224"/>
      <c r="ACI14" s="224"/>
      <c r="ACJ14" s="102"/>
      <c r="ACK14" s="102"/>
      <c r="ACL14" s="223" t="s">
        <v>47</v>
      </c>
      <c r="ACM14" s="223"/>
      <c r="ACN14" s="223"/>
      <c r="ACO14" s="223"/>
      <c r="ACP14" s="82"/>
      <c r="ACQ14" s="82"/>
      <c r="ACR14" s="224" t="s">
        <v>48</v>
      </c>
      <c r="ACS14" s="224"/>
      <c r="ACT14" s="224"/>
      <c r="ACU14" s="224"/>
      <c r="ACV14" s="102"/>
      <c r="ACW14" s="102"/>
      <c r="ACX14" s="223" t="s">
        <v>49</v>
      </c>
      <c r="ACY14" s="223"/>
      <c r="ACZ14" s="223"/>
      <c r="ADA14" s="223"/>
      <c r="ADB14" s="82"/>
      <c r="ADC14" s="82"/>
      <c r="ADD14" s="82"/>
      <c r="ADE14" s="83"/>
      <c r="ADF14" s="81"/>
      <c r="ADG14" s="82"/>
      <c r="ADH14" s="82"/>
      <c r="ADI14" s="82"/>
      <c r="ADJ14" s="223" t="s">
        <v>41</v>
      </c>
      <c r="ADK14" s="223"/>
      <c r="ADL14" s="223"/>
      <c r="ADM14" s="223"/>
      <c r="ADN14" s="82"/>
      <c r="ADO14" s="82"/>
      <c r="ADP14" s="224" t="s">
        <v>42</v>
      </c>
      <c r="ADQ14" s="224"/>
      <c r="ADR14" s="224"/>
      <c r="ADS14" s="224"/>
      <c r="ADT14" s="102"/>
      <c r="ADU14" s="102"/>
      <c r="ADV14" s="223" t="s">
        <v>43</v>
      </c>
      <c r="ADW14" s="223"/>
      <c r="ADX14" s="223"/>
      <c r="ADY14" s="223"/>
      <c r="ADZ14" s="82"/>
      <c r="AEA14" s="82"/>
      <c r="AEB14" s="224" t="s">
        <v>44</v>
      </c>
      <c r="AEC14" s="224"/>
      <c r="AED14" s="224"/>
      <c r="AEE14" s="224"/>
      <c r="AEF14" s="102"/>
      <c r="AEG14" s="102"/>
      <c r="AEH14" s="223" t="s">
        <v>45</v>
      </c>
      <c r="AEI14" s="223"/>
      <c r="AEJ14" s="223"/>
      <c r="AEK14" s="223"/>
      <c r="AEL14" s="82"/>
      <c r="AEM14" s="82"/>
      <c r="AEN14" s="224" t="s">
        <v>46</v>
      </c>
      <c r="AEO14" s="224"/>
      <c r="AEP14" s="224"/>
      <c r="AEQ14" s="224"/>
      <c r="AER14" s="102"/>
      <c r="AES14" s="102"/>
      <c r="AET14" s="223" t="s">
        <v>47</v>
      </c>
      <c r="AEU14" s="223"/>
      <c r="AEV14" s="223"/>
      <c r="AEW14" s="223"/>
      <c r="AEX14" s="82"/>
      <c r="AEY14" s="82"/>
      <c r="AEZ14" s="224" t="s">
        <v>48</v>
      </c>
      <c r="AFA14" s="224"/>
      <c r="AFB14" s="224"/>
      <c r="AFC14" s="224"/>
      <c r="AFD14" s="102"/>
      <c r="AFE14" s="102"/>
      <c r="AFF14" s="223" t="s">
        <v>49</v>
      </c>
      <c r="AFG14" s="223"/>
      <c r="AFH14" s="223"/>
      <c r="AFI14" s="223"/>
      <c r="AFJ14" s="82"/>
      <c r="AFK14" s="82"/>
      <c r="AFL14" s="82"/>
      <c r="AFM14" s="83"/>
      <c r="AFN14" s="81"/>
      <c r="AFO14" s="82"/>
      <c r="AFP14" s="82"/>
      <c r="AFQ14" s="82"/>
      <c r="AFR14" s="223" t="s">
        <v>41</v>
      </c>
      <c r="AFS14" s="223"/>
      <c r="AFT14" s="223"/>
      <c r="AFU14" s="223"/>
      <c r="AFV14" s="82"/>
      <c r="AFW14" s="82"/>
      <c r="AFX14" s="224" t="s">
        <v>42</v>
      </c>
      <c r="AFY14" s="224"/>
      <c r="AFZ14" s="224"/>
      <c r="AGA14" s="224"/>
      <c r="AGB14" s="102"/>
      <c r="AGC14" s="102"/>
      <c r="AGD14" s="223" t="s">
        <v>43</v>
      </c>
      <c r="AGE14" s="223"/>
      <c r="AGF14" s="223"/>
      <c r="AGG14" s="223"/>
      <c r="AGH14" s="82"/>
      <c r="AGI14" s="82"/>
      <c r="AGJ14" s="224" t="s">
        <v>44</v>
      </c>
      <c r="AGK14" s="224"/>
      <c r="AGL14" s="224"/>
      <c r="AGM14" s="224"/>
      <c r="AGN14" s="102"/>
      <c r="AGO14" s="102"/>
      <c r="AGP14" s="223" t="s">
        <v>45</v>
      </c>
      <c r="AGQ14" s="223"/>
      <c r="AGR14" s="223"/>
      <c r="AGS14" s="223"/>
      <c r="AGT14" s="82"/>
      <c r="AGU14" s="82"/>
      <c r="AGV14" s="224" t="s">
        <v>46</v>
      </c>
      <c r="AGW14" s="224"/>
      <c r="AGX14" s="224"/>
      <c r="AGY14" s="224"/>
      <c r="AGZ14" s="102"/>
      <c r="AHA14" s="102"/>
      <c r="AHB14" s="223" t="s">
        <v>47</v>
      </c>
      <c r="AHC14" s="223"/>
      <c r="AHD14" s="223"/>
      <c r="AHE14" s="223"/>
      <c r="AHF14" s="82"/>
      <c r="AHG14" s="82"/>
      <c r="AHH14" s="224" t="s">
        <v>48</v>
      </c>
      <c r="AHI14" s="224"/>
      <c r="AHJ14" s="224"/>
      <c r="AHK14" s="224"/>
      <c r="AHL14" s="102"/>
      <c r="AHM14" s="102"/>
      <c r="AHN14" s="223" t="s">
        <v>49</v>
      </c>
      <c r="AHO14" s="223"/>
      <c r="AHP14" s="223"/>
      <c r="AHQ14" s="223"/>
      <c r="AHR14" s="82"/>
      <c r="AHS14" s="82"/>
      <c r="AHT14" s="82"/>
      <c r="AHU14" s="83"/>
      <c r="AHV14" s="81"/>
      <c r="AHW14" s="82"/>
      <c r="AHX14" s="82"/>
      <c r="AHY14" s="82"/>
      <c r="AHZ14" s="223" t="s">
        <v>41</v>
      </c>
      <c r="AIA14" s="223"/>
      <c r="AIB14" s="223"/>
      <c r="AIC14" s="223"/>
      <c r="AID14" s="82"/>
      <c r="AIE14" s="82"/>
      <c r="AIF14" s="224" t="s">
        <v>42</v>
      </c>
      <c r="AIG14" s="224"/>
      <c r="AIH14" s="224"/>
      <c r="AII14" s="224"/>
      <c r="AIJ14" s="102"/>
      <c r="AIK14" s="102"/>
      <c r="AIL14" s="223" t="s">
        <v>43</v>
      </c>
      <c r="AIM14" s="223"/>
      <c r="AIN14" s="223"/>
      <c r="AIO14" s="223"/>
      <c r="AIP14" s="82"/>
      <c r="AIQ14" s="82"/>
      <c r="AIR14" s="224" t="s">
        <v>44</v>
      </c>
      <c r="AIS14" s="224"/>
      <c r="AIT14" s="224"/>
      <c r="AIU14" s="224"/>
      <c r="AIV14" s="102"/>
      <c r="AIW14" s="102"/>
      <c r="AIX14" s="223" t="s">
        <v>45</v>
      </c>
      <c r="AIY14" s="223"/>
      <c r="AIZ14" s="223"/>
      <c r="AJA14" s="223"/>
      <c r="AJB14" s="82"/>
      <c r="AJC14" s="82"/>
      <c r="AJD14" s="224" t="s">
        <v>46</v>
      </c>
      <c r="AJE14" s="224"/>
      <c r="AJF14" s="224"/>
      <c r="AJG14" s="224"/>
      <c r="AJH14" s="102"/>
      <c r="AJI14" s="102"/>
      <c r="AJJ14" s="223" t="s">
        <v>47</v>
      </c>
      <c r="AJK14" s="223"/>
      <c r="AJL14" s="223"/>
      <c r="AJM14" s="223"/>
      <c r="AJN14" s="82"/>
      <c r="AJO14" s="82"/>
      <c r="AJP14" s="224" t="s">
        <v>48</v>
      </c>
      <c r="AJQ14" s="224"/>
      <c r="AJR14" s="224"/>
      <c r="AJS14" s="224"/>
      <c r="AJT14" s="102"/>
      <c r="AJU14" s="102"/>
      <c r="AJV14" s="223" t="s">
        <v>49</v>
      </c>
      <c r="AJW14" s="223"/>
      <c r="AJX14" s="223"/>
      <c r="AJY14" s="223"/>
      <c r="AJZ14" s="82"/>
      <c r="AKA14" s="82"/>
      <c r="AKB14" s="82"/>
      <c r="AKC14" s="83"/>
      <c r="AKD14" s="81"/>
      <c r="AKE14" s="82"/>
      <c r="AKF14" s="82"/>
      <c r="AKG14" s="82"/>
      <c r="AKH14" s="223" t="s">
        <v>41</v>
      </c>
      <c r="AKI14" s="223"/>
      <c r="AKJ14" s="223"/>
      <c r="AKK14" s="223"/>
      <c r="AKL14" s="82"/>
      <c r="AKM14" s="82"/>
      <c r="AKN14" s="224" t="s">
        <v>42</v>
      </c>
      <c r="AKO14" s="224"/>
      <c r="AKP14" s="224"/>
      <c r="AKQ14" s="224"/>
      <c r="AKR14" s="102"/>
      <c r="AKS14" s="102"/>
      <c r="AKT14" s="223" t="s">
        <v>43</v>
      </c>
      <c r="AKU14" s="223"/>
      <c r="AKV14" s="223"/>
      <c r="AKW14" s="223"/>
      <c r="AKX14" s="82"/>
      <c r="AKY14" s="82"/>
      <c r="AKZ14" s="224" t="s">
        <v>44</v>
      </c>
      <c r="ALA14" s="224"/>
      <c r="ALB14" s="224"/>
      <c r="ALC14" s="224"/>
      <c r="ALD14" s="102"/>
      <c r="ALE14" s="102"/>
      <c r="ALF14" s="223" t="s">
        <v>45</v>
      </c>
      <c r="ALG14" s="223"/>
      <c r="ALH14" s="223"/>
      <c r="ALI14" s="223"/>
      <c r="ALJ14" s="82"/>
      <c r="ALK14" s="82"/>
      <c r="ALL14" s="224" t="s">
        <v>46</v>
      </c>
      <c r="ALM14" s="224"/>
      <c r="ALN14" s="224"/>
      <c r="ALO14" s="224"/>
      <c r="ALP14" s="102"/>
      <c r="ALQ14" s="102"/>
      <c r="ALR14" s="223" t="s">
        <v>47</v>
      </c>
      <c r="ALS14" s="223"/>
      <c r="ALT14" s="223"/>
      <c r="ALU14" s="223"/>
      <c r="ALV14" s="82"/>
      <c r="ALW14" s="82"/>
      <c r="ALX14" s="224" t="s">
        <v>48</v>
      </c>
      <c r="ALY14" s="224"/>
      <c r="ALZ14" s="224"/>
      <c r="AMA14" s="224"/>
      <c r="AMB14" s="102"/>
      <c r="AMC14" s="102"/>
      <c r="AMD14" s="223" t="s">
        <v>49</v>
      </c>
      <c r="AME14" s="223"/>
      <c r="AMF14" s="223"/>
      <c r="AMG14" s="223"/>
      <c r="AMH14" s="82"/>
      <c r="AMI14" s="82"/>
      <c r="AMJ14" s="82"/>
      <c r="AMK14" s="83"/>
      <c r="AML14" s="81"/>
      <c r="AMM14" s="82"/>
      <c r="AMN14" s="82"/>
      <c r="AMO14" s="82"/>
      <c r="AMP14" s="223" t="s">
        <v>41</v>
      </c>
      <c r="AMQ14" s="223"/>
      <c r="AMR14" s="223"/>
      <c r="AMS14" s="223"/>
      <c r="AMT14" s="82"/>
      <c r="AMU14" s="82"/>
      <c r="AMV14" s="224" t="s">
        <v>42</v>
      </c>
      <c r="AMW14" s="224"/>
      <c r="AMX14" s="224"/>
      <c r="AMY14" s="224"/>
      <c r="AMZ14" s="102"/>
      <c r="ANA14" s="102"/>
      <c r="ANB14" s="223" t="s">
        <v>43</v>
      </c>
      <c r="ANC14" s="223"/>
      <c r="AND14" s="223"/>
      <c r="ANE14" s="223"/>
      <c r="ANF14" s="82"/>
      <c r="ANG14" s="82"/>
      <c r="ANH14" s="224" t="s">
        <v>44</v>
      </c>
      <c r="ANI14" s="224"/>
      <c r="ANJ14" s="224"/>
      <c r="ANK14" s="224"/>
      <c r="ANL14" s="102"/>
      <c r="ANM14" s="102"/>
      <c r="ANN14" s="223" t="s">
        <v>45</v>
      </c>
      <c r="ANO14" s="223"/>
      <c r="ANP14" s="223"/>
      <c r="ANQ14" s="223"/>
      <c r="ANR14" s="82"/>
      <c r="ANS14" s="82"/>
      <c r="ANT14" s="224" t="s">
        <v>46</v>
      </c>
      <c r="ANU14" s="224"/>
      <c r="ANV14" s="224"/>
      <c r="ANW14" s="224"/>
      <c r="ANX14" s="102"/>
      <c r="ANY14" s="102"/>
      <c r="ANZ14" s="223" t="s">
        <v>47</v>
      </c>
      <c r="AOA14" s="223"/>
      <c r="AOB14" s="223"/>
      <c r="AOC14" s="223"/>
      <c r="AOD14" s="82"/>
      <c r="AOE14" s="82"/>
      <c r="AOF14" s="224" t="s">
        <v>48</v>
      </c>
      <c r="AOG14" s="224"/>
      <c r="AOH14" s="224"/>
      <c r="AOI14" s="224"/>
      <c r="AOJ14" s="102"/>
      <c r="AOK14" s="102"/>
      <c r="AOL14" s="223" t="s">
        <v>49</v>
      </c>
      <c r="AOM14" s="223"/>
      <c r="AON14" s="223"/>
      <c r="AOO14" s="223"/>
      <c r="AOP14" s="82"/>
      <c r="AOQ14" s="82"/>
      <c r="AOR14" s="82"/>
      <c r="AOS14" s="83"/>
      <c r="AOT14" s="81"/>
      <c r="AOU14" s="82"/>
      <c r="AOV14" s="82"/>
      <c r="AOW14" s="82"/>
      <c r="AOX14" s="223" t="s">
        <v>41</v>
      </c>
      <c r="AOY14" s="223"/>
      <c r="AOZ14" s="223"/>
      <c r="APA14" s="223"/>
      <c r="APB14" s="82"/>
      <c r="APC14" s="82"/>
      <c r="APD14" s="224" t="s">
        <v>42</v>
      </c>
      <c r="APE14" s="224"/>
      <c r="APF14" s="224"/>
      <c r="APG14" s="224"/>
      <c r="APH14" s="102"/>
      <c r="API14" s="102"/>
      <c r="APJ14" s="223" t="s">
        <v>43</v>
      </c>
      <c r="APK14" s="223"/>
      <c r="APL14" s="223"/>
      <c r="APM14" s="223"/>
      <c r="APN14" s="82"/>
      <c r="APO14" s="82"/>
      <c r="APP14" s="224" t="s">
        <v>44</v>
      </c>
      <c r="APQ14" s="224"/>
      <c r="APR14" s="224"/>
      <c r="APS14" s="224"/>
      <c r="APT14" s="102"/>
      <c r="APU14" s="102"/>
      <c r="APV14" s="223" t="s">
        <v>45</v>
      </c>
      <c r="APW14" s="223"/>
      <c r="APX14" s="223"/>
      <c r="APY14" s="223"/>
      <c r="APZ14" s="82"/>
      <c r="AQA14" s="82"/>
      <c r="AQB14" s="224" t="s">
        <v>46</v>
      </c>
      <c r="AQC14" s="224"/>
      <c r="AQD14" s="224"/>
      <c r="AQE14" s="224"/>
      <c r="AQF14" s="102"/>
      <c r="AQG14" s="102"/>
      <c r="AQH14" s="223" t="s">
        <v>47</v>
      </c>
      <c r="AQI14" s="223"/>
      <c r="AQJ14" s="223"/>
      <c r="AQK14" s="223"/>
      <c r="AQL14" s="82"/>
      <c r="AQM14" s="82"/>
      <c r="AQN14" s="224" t="s">
        <v>48</v>
      </c>
      <c r="AQO14" s="224"/>
      <c r="AQP14" s="224"/>
      <c r="AQQ14" s="224"/>
      <c r="AQR14" s="102"/>
      <c r="AQS14" s="102"/>
      <c r="AQT14" s="223" t="s">
        <v>49</v>
      </c>
      <c r="AQU14" s="223"/>
      <c r="AQV14" s="223"/>
      <c r="AQW14" s="223"/>
      <c r="AQX14" s="82"/>
      <c r="AQY14" s="82"/>
      <c r="AQZ14" s="82"/>
      <c r="ARA14" s="83"/>
      <c r="ARB14" s="81"/>
      <c r="ARC14" s="82"/>
      <c r="ARD14" s="82"/>
      <c r="ARE14" s="82"/>
      <c r="ARF14" s="223" t="s">
        <v>41</v>
      </c>
      <c r="ARG14" s="223"/>
      <c r="ARH14" s="223"/>
      <c r="ARI14" s="223"/>
      <c r="ARJ14" s="82"/>
      <c r="ARK14" s="82"/>
      <c r="ARL14" s="224" t="s">
        <v>42</v>
      </c>
      <c r="ARM14" s="224"/>
      <c r="ARN14" s="224"/>
      <c r="ARO14" s="224"/>
      <c r="ARP14" s="102"/>
      <c r="ARQ14" s="102"/>
      <c r="ARR14" s="223" t="s">
        <v>43</v>
      </c>
      <c r="ARS14" s="223"/>
      <c r="ART14" s="223"/>
      <c r="ARU14" s="223"/>
      <c r="ARV14" s="82"/>
      <c r="ARW14" s="82"/>
      <c r="ARX14" s="224" t="s">
        <v>44</v>
      </c>
      <c r="ARY14" s="224"/>
      <c r="ARZ14" s="224"/>
      <c r="ASA14" s="224"/>
      <c r="ASB14" s="102"/>
      <c r="ASC14" s="102"/>
      <c r="ASD14" s="223" t="s">
        <v>45</v>
      </c>
      <c r="ASE14" s="223"/>
      <c r="ASF14" s="223"/>
      <c r="ASG14" s="223"/>
      <c r="ASH14" s="82"/>
      <c r="ASI14" s="82"/>
      <c r="ASJ14" s="224" t="s">
        <v>46</v>
      </c>
      <c r="ASK14" s="224"/>
      <c r="ASL14" s="224"/>
      <c r="ASM14" s="224"/>
      <c r="ASN14" s="102"/>
      <c r="ASO14" s="102"/>
      <c r="ASP14" s="223" t="s">
        <v>47</v>
      </c>
      <c r="ASQ14" s="223"/>
      <c r="ASR14" s="223"/>
      <c r="ASS14" s="223"/>
      <c r="AST14" s="82"/>
      <c r="ASU14" s="82"/>
      <c r="ASV14" s="224" t="s">
        <v>48</v>
      </c>
      <c r="ASW14" s="224"/>
      <c r="ASX14" s="224"/>
      <c r="ASY14" s="224"/>
      <c r="ASZ14" s="102"/>
      <c r="ATA14" s="102"/>
      <c r="ATB14" s="223" t="s">
        <v>49</v>
      </c>
      <c r="ATC14" s="223"/>
      <c r="ATD14" s="223"/>
      <c r="ATE14" s="223"/>
      <c r="ATF14" s="82"/>
      <c r="ATG14" s="82"/>
      <c r="ATH14" s="82"/>
      <c r="ATI14" s="83"/>
      <c r="ATJ14" s="81"/>
      <c r="ATK14" s="82"/>
      <c r="ATL14" s="82"/>
      <c r="ATM14" s="82"/>
      <c r="ATN14" s="223" t="s">
        <v>41</v>
      </c>
      <c r="ATO14" s="223"/>
      <c r="ATP14" s="223"/>
      <c r="ATQ14" s="223"/>
      <c r="ATR14" s="82"/>
      <c r="ATS14" s="82"/>
      <c r="ATT14" s="224" t="s">
        <v>42</v>
      </c>
      <c r="ATU14" s="224"/>
      <c r="ATV14" s="224"/>
      <c r="ATW14" s="224"/>
      <c r="ATX14" s="102"/>
      <c r="ATY14" s="102"/>
      <c r="ATZ14" s="223" t="s">
        <v>43</v>
      </c>
      <c r="AUA14" s="223"/>
      <c r="AUB14" s="223"/>
      <c r="AUC14" s="223"/>
      <c r="AUD14" s="82"/>
      <c r="AUE14" s="82"/>
      <c r="AUF14" s="224" t="s">
        <v>44</v>
      </c>
      <c r="AUG14" s="224"/>
      <c r="AUH14" s="224"/>
      <c r="AUI14" s="224"/>
      <c r="AUJ14" s="102"/>
      <c r="AUK14" s="102"/>
      <c r="AUL14" s="223" t="s">
        <v>45</v>
      </c>
      <c r="AUM14" s="223"/>
      <c r="AUN14" s="223"/>
      <c r="AUO14" s="223"/>
      <c r="AUP14" s="82"/>
      <c r="AUQ14" s="82"/>
      <c r="AUR14" s="224" t="s">
        <v>46</v>
      </c>
      <c r="AUS14" s="224"/>
      <c r="AUT14" s="224"/>
      <c r="AUU14" s="224"/>
      <c r="AUV14" s="102"/>
      <c r="AUW14" s="102"/>
      <c r="AUX14" s="223" t="s">
        <v>47</v>
      </c>
      <c r="AUY14" s="223"/>
      <c r="AUZ14" s="223"/>
      <c r="AVA14" s="223"/>
      <c r="AVB14" s="82"/>
      <c r="AVC14" s="82"/>
      <c r="AVD14" s="224" t="s">
        <v>48</v>
      </c>
      <c r="AVE14" s="224"/>
      <c r="AVF14" s="224"/>
      <c r="AVG14" s="224"/>
      <c r="AVH14" s="102"/>
      <c r="AVI14" s="102"/>
      <c r="AVJ14" s="223" t="s">
        <v>49</v>
      </c>
      <c r="AVK14" s="223"/>
      <c r="AVL14" s="223"/>
      <c r="AVM14" s="223"/>
      <c r="AVN14" s="82"/>
      <c r="AVO14" s="82"/>
      <c r="AVP14" s="82"/>
      <c r="AVQ14" s="83"/>
      <c r="AVR14" s="81"/>
      <c r="AVS14" s="82"/>
      <c r="AVT14" s="82"/>
      <c r="AVU14" s="82"/>
      <c r="AVV14" s="223" t="s">
        <v>41</v>
      </c>
      <c r="AVW14" s="223"/>
      <c r="AVX14" s="223"/>
      <c r="AVY14" s="223"/>
      <c r="AVZ14" s="82"/>
      <c r="AWA14" s="82"/>
      <c r="AWB14" s="224" t="s">
        <v>42</v>
      </c>
      <c r="AWC14" s="224"/>
      <c r="AWD14" s="224"/>
      <c r="AWE14" s="224"/>
      <c r="AWF14" s="102"/>
      <c r="AWG14" s="102"/>
      <c r="AWH14" s="223" t="s">
        <v>43</v>
      </c>
      <c r="AWI14" s="223"/>
      <c r="AWJ14" s="223"/>
      <c r="AWK14" s="223"/>
      <c r="AWL14" s="82"/>
      <c r="AWM14" s="82"/>
      <c r="AWN14" s="224" t="s">
        <v>44</v>
      </c>
      <c r="AWO14" s="224"/>
      <c r="AWP14" s="224"/>
      <c r="AWQ14" s="224"/>
      <c r="AWR14" s="102"/>
      <c r="AWS14" s="102"/>
      <c r="AWT14" s="223" t="s">
        <v>45</v>
      </c>
      <c r="AWU14" s="223"/>
      <c r="AWV14" s="223"/>
      <c r="AWW14" s="223"/>
      <c r="AWX14" s="82"/>
      <c r="AWY14" s="82"/>
      <c r="AWZ14" s="224" t="s">
        <v>46</v>
      </c>
      <c r="AXA14" s="224"/>
      <c r="AXB14" s="224"/>
      <c r="AXC14" s="224"/>
      <c r="AXD14" s="102"/>
      <c r="AXE14" s="102"/>
      <c r="AXF14" s="223" t="s">
        <v>47</v>
      </c>
      <c r="AXG14" s="223"/>
      <c r="AXH14" s="223"/>
      <c r="AXI14" s="223"/>
      <c r="AXJ14" s="82"/>
      <c r="AXK14" s="82"/>
      <c r="AXL14" s="224" t="s">
        <v>48</v>
      </c>
      <c r="AXM14" s="224"/>
      <c r="AXN14" s="224"/>
      <c r="AXO14" s="224"/>
      <c r="AXP14" s="102"/>
      <c r="AXQ14" s="102"/>
      <c r="AXR14" s="223" t="s">
        <v>49</v>
      </c>
      <c r="AXS14" s="223"/>
      <c r="AXT14" s="223"/>
      <c r="AXU14" s="223"/>
      <c r="AXV14" s="82"/>
      <c r="AXW14" s="82"/>
      <c r="AXX14" s="82"/>
      <c r="AXY14" s="83"/>
      <c r="AXZ14" s="81"/>
      <c r="AYA14" s="82"/>
      <c r="AYB14" s="82"/>
      <c r="AYC14" s="82"/>
      <c r="AYD14" s="223" t="s">
        <v>41</v>
      </c>
      <c r="AYE14" s="223"/>
      <c r="AYF14" s="223"/>
      <c r="AYG14" s="223"/>
      <c r="AYH14" s="82"/>
      <c r="AYI14" s="82"/>
      <c r="AYJ14" s="224" t="s">
        <v>42</v>
      </c>
      <c r="AYK14" s="224"/>
      <c r="AYL14" s="224"/>
      <c r="AYM14" s="224"/>
      <c r="AYN14" s="102"/>
      <c r="AYO14" s="102"/>
      <c r="AYP14" s="223" t="s">
        <v>43</v>
      </c>
      <c r="AYQ14" s="223"/>
      <c r="AYR14" s="223"/>
      <c r="AYS14" s="223"/>
      <c r="AYT14" s="82"/>
      <c r="AYU14" s="82"/>
      <c r="AYV14" s="224" t="s">
        <v>44</v>
      </c>
      <c r="AYW14" s="224"/>
      <c r="AYX14" s="224"/>
      <c r="AYY14" s="224"/>
      <c r="AYZ14" s="102"/>
      <c r="AZA14" s="102"/>
      <c r="AZB14" s="223" t="s">
        <v>45</v>
      </c>
      <c r="AZC14" s="223"/>
      <c r="AZD14" s="223"/>
      <c r="AZE14" s="223"/>
      <c r="AZF14" s="82"/>
      <c r="AZG14" s="82"/>
      <c r="AZH14" s="224" t="s">
        <v>46</v>
      </c>
      <c r="AZI14" s="224"/>
      <c r="AZJ14" s="224"/>
      <c r="AZK14" s="224"/>
      <c r="AZL14" s="102"/>
      <c r="AZM14" s="102"/>
      <c r="AZN14" s="223" t="s">
        <v>47</v>
      </c>
      <c r="AZO14" s="223"/>
      <c r="AZP14" s="223"/>
      <c r="AZQ14" s="223"/>
      <c r="AZR14" s="82"/>
      <c r="AZS14" s="82"/>
      <c r="AZT14" s="224" t="s">
        <v>48</v>
      </c>
      <c r="AZU14" s="224"/>
      <c r="AZV14" s="224"/>
      <c r="AZW14" s="224"/>
      <c r="AZX14" s="102"/>
      <c r="AZY14" s="102"/>
      <c r="AZZ14" s="223" t="s">
        <v>49</v>
      </c>
      <c r="BAA14" s="223"/>
      <c r="BAB14" s="223"/>
      <c r="BAC14" s="223"/>
      <c r="BAD14" s="82"/>
      <c r="BAE14" s="82"/>
      <c r="BAF14" s="82"/>
      <c r="BAG14" s="83"/>
      <c r="BAH14" s="81"/>
      <c r="BAI14" s="82"/>
      <c r="BAJ14" s="82"/>
      <c r="BAK14" s="82"/>
      <c r="BAL14" s="223" t="s">
        <v>41</v>
      </c>
      <c r="BAM14" s="223"/>
      <c r="BAN14" s="223"/>
      <c r="BAO14" s="223"/>
      <c r="BAP14" s="82"/>
      <c r="BAQ14" s="82"/>
      <c r="BAR14" s="224" t="s">
        <v>42</v>
      </c>
      <c r="BAS14" s="224"/>
      <c r="BAT14" s="224"/>
      <c r="BAU14" s="224"/>
      <c r="BAV14" s="102"/>
      <c r="BAW14" s="102"/>
      <c r="BAX14" s="223" t="s">
        <v>43</v>
      </c>
      <c r="BAY14" s="223"/>
      <c r="BAZ14" s="223"/>
      <c r="BBA14" s="223"/>
      <c r="BBB14" s="82"/>
      <c r="BBC14" s="82"/>
      <c r="BBD14" s="224" t="s">
        <v>44</v>
      </c>
      <c r="BBE14" s="224"/>
      <c r="BBF14" s="224"/>
      <c r="BBG14" s="224"/>
      <c r="BBH14" s="102"/>
      <c r="BBI14" s="102"/>
      <c r="BBJ14" s="223" t="s">
        <v>45</v>
      </c>
      <c r="BBK14" s="223"/>
      <c r="BBL14" s="223"/>
      <c r="BBM14" s="223"/>
      <c r="BBN14" s="82"/>
      <c r="BBO14" s="82"/>
      <c r="BBP14" s="224" t="s">
        <v>46</v>
      </c>
      <c r="BBQ14" s="224"/>
      <c r="BBR14" s="224"/>
      <c r="BBS14" s="224"/>
      <c r="BBT14" s="102"/>
      <c r="BBU14" s="102"/>
      <c r="BBV14" s="223" t="s">
        <v>47</v>
      </c>
      <c r="BBW14" s="223"/>
      <c r="BBX14" s="223"/>
      <c r="BBY14" s="223"/>
      <c r="BBZ14" s="82"/>
      <c r="BCA14" s="82"/>
      <c r="BCB14" s="224" t="s">
        <v>48</v>
      </c>
      <c r="BCC14" s="224"/>
      <c r="BCD14" s="224"/>
      <c r="BCE14" s="224"/>
      <c r="BCF14" s="102"/>
      <c r="BCG14" s="102"/>
      <c r="BCH14" s="223" t="s">
        <v>49</v>
      </c>
      <c r="BCI14" s="223"/>
      <c r="BCJ14" s="223"/>
      <c r="BCK14" s="223"/>
      <c r="BCL14" s="82"/>
      <c r="BCM14" s="82"/>
      <c r="BCN14" s="82"/>
      <c r="BCO14" s="83"/>
      <c r="BCP14" s="81"/>
      <c r="BCQ14" s="82"/>
      <c r="BCR14" s="82"/>
      <c r="BCS14" s="82"/>
      <c r="BCT14" s="223" t="s">
        <v>41</v>
      </c>
      <c r="BCU14" s="223"/>
      <c r="BCV14" s="223"/>
      <c r="BCW14" s="223"/>
      <c r="BCX14" s="82"/>
      <c r="BCY14" s="82"/>
      <c r="BCZ14" s="224" t="s">
        <v>42</v>
      </c>
      <c r="BDA14" s="224"/>
      <c r="BDB14" s="224"/>
      <c r="BDC14" s="224"/>
      <c r="BDD14" s="102"/>
      <c r="BDE14" s="102"/>
      <c r="BDF14" s="223" t="s">
        <v>43</v>
      </c>
      <c r="BDG14" s="223"/>
      <c r="BDH14" s="223"/>
      <c r="BDI14" s="223"/>
      <c r="BDJ14" s="82"/>
      <c r="BDK14" s="82"/>
      <c r="BDL14" s="224" t="s">
        <v>44</v>
      </c>
      <c r="BDM14" s="224"/>
      <c r="BDN14" s="224"/>
      <c r="BDO14" s="224"/>
      <c r="BDP14" s="102"/>
      <c r="BDQ14" s="102"/>
      <c r="BDR14" s="223" t="s">
        <v>45</v>
      </c>
      <c r="BDS14" s="223"/>
      <c r="BDT14" s="223"/>
      <c r="BDU14" s="223"/>
      <c r="BDV14" s="82"/>
      <c r="BDW14" s="82"/>
      <c r="BDX14" s="224" t="s">
        <v>46</v>
      </c>
      <c r="BDY14" s="224"/>
      <c r="BDZ14" s="224"/>
      <c r="BEA14" s="224"/>
      <c r="BEB14" s="102"/>
      <c r="BEC14" s="102"/>
      <c r="BED14" s="223" t="s">
        <v>47</v>
      </c>
      <c r="BEE14" s="223"/>
      <c r="BEF14" s="223"/>
      <c r="BEG14" s="223"/>
      <c r="BEH14" s="82"/>
      <c r="BEI14" s="82"/>
      <c r="BEJ14" s="224" t="s">
        <v>48</v>
      </c>
      <c r="BEK14" s="224"/>
      <c r="BEL14" s="224"/>
      <c r="BEM14" s="224"/>
      <c r="BEN14" s="102"/>
      <c r="BEO14" s="102"/>
      <c r="BEP14" s="223" t="s">
        <v>49</v>
      </c>
      <c r="BEQ14" s="223"/>
      <c r="BER14" s="223"/>
      <c r="BES14" s="223"/>
      <c r="BET14" s="82"/>
      <c r="BEU14" s="82"/>
      <c r="BEV14" s="82"/>
      <c r="BEW14" s="83"/>
      <c r="BEX14" s="81"/>
      <c r="BEY14" s="82"/>
      <c r="BEZ14" s="82"/>
      <c r="BFA14" s="82"/>
      <c r="BFB14" s="223" t="s">
        <v>41</v>
      </c>
      <c r="BFC14" s="223"/>
      <c r="BFD14" s="223"/>
      <c r="BFE14" s="223"/>
      <c r="BFF14" s="82"/>
      <c r="BFG14" s="82"/>
      <c r="BFH14" s="224" t="s">
        <v>42</v>
      </c>
      <c r="BFI14" s="224"/>
      <c r="BFJ14" s="224"/>
      <c r="BFK14" s="224"/>
      <c r="BFL14" s="102"/>
      <c r="BFM14" s="102"/>
      <c r="BFN14" s="223" t="s">
        <v>43</v>
      </c>
      <c r="BFO14" s="223"/>
      <c r="BFP14" s="223"/>
      <c r="BFQ14" s="223"/>
      <c r="BFR14" s="82"/>
      <c r="BFS14" s="82"/>
      <c r="BFT14" s="224" t="s">
        <v>44</v>
      </c>
      <c r="BFU14" s="224"/>
      <c r="BFV14" s="224"/>
      <c r="BFW14" s="224"/>
      <c r="BFX14" s="102"/>
      <c r="BFY14" s="102"/>
      <c r="BFZ14" s="223" t="s">
        <v>45</v>
      </c>
      <c r="BGA14" s="223"/>
      <c r="BGB14" s="223"/>
      <c r="BGC14" s="223"/>
      <c r="BGD14" s="82"/>
      <c r="BGE14" s="82"/>
      <c r="BGF14" s="224" t="s">
        <v>46</v>
      </c>
      <c r="BGG14" s="224"/>
      <c r="BGH14" s="224"/>
      <c r="BGI14" s="224"/>
      <c r="BGJ14" s="102"/>
      <c r="BGK14" s="102"/>
      <c r="BGL14" s="223" t="s">
        <v>47</v>
      </c>
      <c r="BGM14" s="223"/>
      <c r="BGN14" s="223"/>
      <c r="BGO14" s="223"/>
      <c r="BGP14" s="82"/>
      <c r="BGQ14" s="82"/>
      <c r="BGR14" s="224" t="s">
        <v>48</v>
      </c>
      <c r="BGS14" s="224"/>
      <c r="BGT14" s="224"/>
      <c r="BGU14" s="224"/>
      <c r="BGV14" s="102"/>
      <c r="BGW14" s="102"/>
      <c r="BGX14" s="223" t="s">
        <v>49</v>
      </c>
      <c r="BGY14" s="223"/>
      <c r="BGZ14" s="223"/>
      <c r="BHA14" s="223"/>
      <c r="BHB14" s="82"/>
      <c r="BHC14" s="82"/>
      <c r="BHD14" s="82"/>
      <c r="BHE14" s="83"/>
      <c r="BHF14" s="81"/>
      <c r="BHG14" s="82"/>
      <c r="BHH14" s="82"/>
      <c r="BHI14" s="82"/>
      <c r="BHJ14" s="223" t="s">
        <v>41</v>
      </c>
      <c r="BHK14" s="223"/>
      <c r="BHL14" s="223"/>
      <c r="BHM14" s="223"/>
      <c r="BHN14" s="82"/>
      <c r="BHO14" s="82"/>
      <c r="BHP14" s="224" t="s">
        <v>42</v>
      </c>
      <c r="BHQ14" s="224"/>
      <c r="BHR14" s="224"/>
      <c r="BHS14" s="224"/>
      <c r="BHT14" s="102"/>
      <c r="BHU14" s="102"/>
      <c r="BHV14" s="223" t="s">
        <v>43</v>
      </c>
      <c r="BHW14" s="223"/>
      <c r="BHX14" s="223"/>
      <c r="BHY14" s="223"/>
      <c r="BHZ14" s="82"/>
      <c r="BIA14" s="82"/>
      <c r="BIB14" s="224" t="s">
        <v>44</v>
      </c>
      <c r="BIC14" s="224"/>
      <c r="BID14" s="224"/>
      <c r="BIE14" s="224"/>
      <c r="BIF14" s="102"/>
      <c r="BIG14" s="102"/>
      <c r="BIH14" s="223" t="s">
        <v>45</v>
      </c>
      <c r="BII14" s="223"/>
      <c r="BIJ14" s="223"/>
      <c r="BIK14" s="223"/>
      <c r="BIL14" s="82"/>
      <c r="BIM14" s="82"/>
      <c r="BIN14" s="224" t="s">
        <v>46</v>
      </c>
      <c r="BIO14" s="224"/>
      <c r="BIP14" s="224"/>
      <c r="BIQ14" s="224"/>
      <c r="BIR14" s="102"/>
      <c r="BIS14" s="102"/>
      <c r="BIT14" s="223" t="s">
        <v>47</v>
      </c>
      <c r="BIU14" s="223"/>
      <c r="BIV14" s="223"/>
      <c r="BIW14" s="223"/>
      <c r="BIX14" s="82"/>
      <c r="BIY14" s="82"/>
      <c r="BIZ14" s="224" t="s">
        <v>48</v>
      </c>
      <c r="BJA14" s="224"/>
      <c r="BJB14" s="224"/>
      <c r="BJC14" s="224"/>
      <c r="BJD14" s="102"/>
      <c r="BJE14" s="102"/>
      <c r="BJF14" s="223" t="s">
        <v>49</v>
      </c>
      <c r="BJG14" s="223"/>
      <c r="BJH14" s="223"/>
      <c r="BJI14" s="223"/>
      <c r="BJJ14" s="82"/>
      <c r="BJK14" s="82"/>
      <c r="BJL14" s="82"/>
      <c r="BJM14" s="83"/>
    </row>
    <row r="15" spans="1:1625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39" t="s">
        <v>95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</row>
    <row r="16" spans="1:1625" ht="20.100000000000001" customHeight="1" x14ac:dyDescent="0.25">
      <c r="A16" s="78" t="s">
        <v>51</v>
      </c>
      <c r="B16" s="51" t="str">
        <f>IF(LEN(C17)=0,"",C17)</f>
        <v>Analyse ‑ Cahier des charges</v>
      </c>
      <c r="C16" s="226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</row>
    <row r="17" spans="1:1625" ht="20.100000000000001" customHeight="1" x14ac:dyDescent="0.25">
      <c r="A17" s="78" t="s">
        <v>50</v>
      </c>
      <c r="B17" s="51" t="str">
        <f>IF(LEN(C19)=0,"",C19)</f>
        <v xml:space="preserve">Analyse - Mise en place de la méthode de la gestion du projet </v>
      </c>
      <c r="C17" s="225" t="s">
        <v>96</v>
      </c>
      <c r="D17" s="119" t="str">
        <f t="shared" si="0"/>
        <v xml:space="preserve"> 50 min</v>
      </c>
      <c r="E17" s="26">
        <v>10</v>
      </c>
      <c r="F17" s="159"/>
      <c r="G17" s="160"/>
      <c r="H17" s="160"/>
      <c r="I17" s="160"/>
      <c r="J17" s="160"/>
      <c r="K17" s="161"/>
      <c r="L17" s="174"/>
      <c r="M17" s="174"/>
      <c r="N17" s="174"/>
      <c r="O17" s="174"/>
      <c r="P17" s="174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76"/>
      <c r="BO17" s="174"/>
      <c r="BP17" s="174"/>
      <c r="BQ17" s="174"/>
      <c r="BR17" s="174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</row>
    <row r="18" spans="1:1625" ht="20.100000000000001" customHeight="1" x14ac:dyDescent="0.3">
      <c r="A18" s="78" t="s">
        <v>51</v>
      </c>
      <c r="B18" s="51" t="str">
        <f>IF(LEN(C21)=0,"",C21)</f>
        <v>Analyse - Planification initiale</v>
      </c>
      <c r="C18" s="226"/>
      <c r="D18" s="121" t="str">
        <f t="shared" si="0"/>
        <v>1h 15 min</v>
      </c>
      <c r="E18" s="30">
        <v>15</v>
      </c>
      <c r="F18" s="187"/>
      <c r="G18" s="188"/>
      <c r="H18" s="188"/>
      <c r="I18" s="188"/>
      <c r="J18" s="188"/>
      <c r="K18" s="189"/>
      <c r="L18" s="194"/>
      <c r="M18" s="194"/>
      <c r="N18" s="194"/>
      <c r="O18" s="194"/>
      <c r="P18" s="194"/>
      <c r="Q18" s="190"/>
      <c r="R18" s="188"/>
      <c r="S18" s="188"/>
      <c r="T18" s="188"/>
      <c r="U18" s="188"/>
      <c r="V18" s="188"/>
      <c r="W18" s="191"/>
      <c r="X18" s="188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93"/>
      <c r="BO18" s="194"/>
      <c r="BP18" s="194"/>
      <c r="BQ18" s="194"/>
      <c r="BR18" s="194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94"/>
      <c r="EM18" s="197"/>
      <c r="EN18" s="194"/>
      <c r="EO18" s="194"/>
      <c r="EP18" s="194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</row>
    <row r="19" spans="1:1625" ht="20.100000000000001" customHeight="1" x14ac:dyDescent="0.25">
      <c r="A19" s="78" t="s">
        <v>50</v>
      </c>
      <c r="B19" s="51" t="str">
        <f>IF(LEN(C23)=0,"",C23)</f>
        <v xml:space="preserve">Analyse - Recherche </v>
      </c>
      <c r="C19" s="225" t="s">
        <v>80</v>
      </c>
      <c r="D19" s="119" t="str">
        <f t="shared" si="0"/>
        <v xml:space="preserve"> 25 min</v>
      </c>
      <c r="E19" s="34">
        <v>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72"/>
      <c r="FC19" s="172"/>
      <c r="FD19" s="172"/>
      <c r="FE19" s="175"/>
      <c r="FF19" s="172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</row>
    <row r="20" spans="1:1625" ht="20.100000000000001" customHeight="1" x14ac:dyDescent="0.25">
      <c r="A20" s="78" t="s">
        <v>51</v>
      </c>
      <c r="B20" s="51" t="str">
        <f>IF(LEN(C25)=0,"",C25)</f>
        <v>Analyse ‑ Composants</v>
      </c>
      <c r="C20" s="226"/>
      <c r="D20" s="120" t="str">
        <f t="shared" si="0"/>
        <v xml:space="preserve"> 50 min</v>
      </c>
      <c r="E20" s="22">
        <v>10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82"/>
      <c r="Z20" s="182"/>
      <c r="AA20" s="182"/>
      <c r="AB20" s="182"/>
      <c r="AC20" s="184"/>
      <c r="AD20" s="182"/>
      <c r="AE20" s="182"/>
      <c r="AF20" s="182"/>
      <c r="AG20" s="182"/>
      <c r="AH20" s="182"/>
      <c r="AI20" s="191"/>
      <c r="AJ20" s="182"/>
      <c r="AK20" s="182"/>
      <c r="AL20" s="182"/>
      <c r="AM20" s="182"/>
      <c r="AN20" s="182"/>
      <c r="AO20" s="184"/>
      <c r="AP20" s="182"/>
      <c r="AQ20" s="182"/>
      <c r="AR20" s="182"/>
      <c r="AS20" s="182"/>
      <c r="AT20" s="188"/>
      <c r="AU20" s="191"/>
      <c r="AV20" s="182"/>
      <c r="AW20" s="182"/>
      <c r="AX20" s="182"/>
      <c r="AY20" s="182"/>
      <c r="AZ20" s="182"/>
      <c r="BA20" s="184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181"/>
      <c r="BO20" s="182"/>
      <c r="BP20" s="182"/>
      <c r="BQ20" s="182"/>
      <c r="BR20" s="182"/>
      <c r="BS20" s="183"/>
      <c r="BT20" s="182"/>
      <c r="BU20" s="182"/>
      <c r="BV20" s="182"/>
      <c r="BW20" s="182"/>
      <c r="BX20" s="182"/>
      <c r="BY20" s="184"/>
      <c r="BZ20" s="182"/>
      <c r="CA20" s="182"/>
      <c r="CB20" s="182"/>
      <c r="CC20" s="182"/>
      <c r="CD20" s="182"/>
      <c r="CE20" s="191"/>
      <c r="CF20" s="182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99"/>
      <c r="GX20" s="199"/>
      <c r="GY20" s="199"/>
      <c r="GZ20" s="199"/>
      <c r="HA20" s="198"/>
      <c r="HB20" s="199"/>
      <c r="HC20" s="199"/>
      <c r="HD20" s="199"/>
      <c r="HE20" s="199"/>
      <c r="HF20" s="199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</row>
    <row r="21" spans="1:1625" ht="20.100000000000001" customHeight="1" x14ac:dyDescent="0.25">
      <c r="A21" s="78" t="s">
        <v>50</v>
      </c>
      <c r="B21" s="51" t="str">
        <f>IF(LEN(C27)=0,"",C27)</f>
        <v>Analyse ‑ Tests</v>
      </c>
      <c r="C21" s="225" t="s">
        <v>52</v>
      </c>
      <c r="D21" s="119" t="str">
        <f t="shared" si="0"/>
        <v>5h 35 min</v>
      </c>
      <c r="E21" s="26">
        <v>67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74"/>
      <c r="U21" s="174"/>
      <c r="V21" s="174"/>
      <c r="W21" s="180"/>
      <c r="X21" s="174"/>
      <c r="Y21" s="174"/>
      <c r="Z21" s="174"/>
      <c r="AA21" s="174"/>
      <c r="AB21" s="174"/>
      <c r="AC21" s="179"/>
      <c r="AD21" s="174"/>
      <c r="AE21" s="174"/>
      <c r="AF21" s="174"/>
      <c r="AG21" s="174"/>
      <c r="AH21" s="174"/>
      <c r="AI21" s="180"/>
      <c r="AJ21" s="174"/>
      <c r="AK21" s="174"/>
      <c r="AL21" s="174"/>
      <c r="AM21" s="174"/>
      <c r="AN21" s="174"/>
      <c r="AO21" s="179"/>
      <c r="AP21" s="174"/>
      <c r="AQ21" s="174"/>
      <c r="AR21" s="174"/>
      <c r="AS21" s="174"/>
      <c r="AT21" s="174"/>
      <c r="AU21" s="180"/>
      <c r="AV21" s="174"/>
      <c r="AW21" s="174"/>
      <c r="AX21" s="174"/>
      <c r="AY21" s="174"/>
      <c r="AZ21" s="174"/>
      <c r="BA21" s="179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78"/>
      <c r="BT21" s="174"/>
      <c r="BU21" s="174"/>
      <c r="BV21" s="174"/>
      <c r="BW21" s="174"/>
      <c r="BX21" s="174"/>
      <c r="BY21" s="179"/>
      <c r="BZ21" s="174"/>
      <c r="CA21" s="174"/>
      <c r="CB21" s="174"/>
      <c r="CC21" s="174"/>
      <c r="CD21" s="174"/>
      <c r="CE21" s="180"/>
      <c r="CF21" s="174"/>
      <c r="CG21" s="174"/>
      <c r="CH21" s="174"/>
      <c r="CI21" s="174"/>
      <c r="CJ21" s="174"/>
      <c r="CK21" s="179"/>
      <c r="CL21" s="174"/>
      <c r="CM21" s="174"/>
      <c r="CN21" s="174"/>
      <c r="CO21" s="174"/>
      <c r="CP21" s="174"/>
      <c r="CQ21" s="180"/>
      <c r="CR21" s="174"/>
      <c r="CS21" s="174"/>
      <c r="CT21" s="174"/>
      <c r="CU21" s="174"/>
      <c r="CV21" s="174"/>
      <c r="CW21" s="179"/>
      <c r="CX21" s="174"/>
      <c r="CY21" s="174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59"/>
      <c r="BHG21" s="160"/>
      <c r="BHH21" s="160"/>
      <c r="BHI21" s="160"/>
      <c r="BHJ21" s="160"/>
      <c r="BHK21" s="161"/>
      <c r="BHL21" s="160"/>
      <c r="BHM21" s="160"/>
      <c r="BHN21" s="160"/>
      <c r="BHO21" s="160"/>
      <c r="BHP21" s="160"/>
      <c r="BHQ21" s="162"/>
      <c r="BHR21" s="160"/>
      <c r="BHS21" s="160"/>
      <c r="BHT21" s="160"/>
      <c r="BHU21" s="160"/>
      <c r="BHV21" s="160"/>
      <c r="BHW21" s="163"/>
      <c r="BHX21" s="160"/>
      <c r="BHY21" s="160"/>
      <c r="BHZ21" s="160"/>
      <c r="BIA21" s="160"/>
      <c r="BIB21" s="160"/>
      <c r="BIC21" s="162"/>
      <c r="BID21" s="160"/>
      <c r="BIE21" s="160"/>
      <c r="BIF21" s="160"/>
      <c r="BIG21" s="160"/>
      <c r="BIH21" s="160"/>
      <c r="BII21" s="163"/>
      <c r="BIJ21" s="160"/>
      <c r="BIK21" s="160"/>
      <c r="BIL21" s="160"/>
      <c r="BIM21" s="160"/>
      <c r="BIN21" s="160"/>
      <c r="BIO21" s="162"/>
      <c r="BIP21" s="160"/>
      <c r="BIQ21" s="160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</row>
    <row r="22" spans="1:1625" ht="20.100000000000001" customHeight="1" x14ac:dyDescent="0.25">
      <c r="A22" s="78" t="s">
        <v>51</v>
      </c>
      <c r="B22" s="51" t="str">
        <f>IF(LEN(C29)=0,"",C29)</f>
        <v>Doc - Journal de travail</v>
      </c>
      <c r="C22" s="226"/>
      <c r="D22" s="120" t="str">
        <f t="shared" si="0"/>
        <v>8h 20 min</v>
      </c>
      <c r="E22" s="30">
        <v>100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94"/>
      <c r="U22" s="194"/>
      <c r="V22" s="194"/>
      <c r="W22" s="197"/>
      <c r="X22" s="194"/>
      <c r="Y22" s="194"/>
      <c r="Z22" s="194"/>
      <c r="AA22" s="194"/>
      <c r="AB22" s="194"/>
      <c r="AC22" s="196"/>
      <c r="AD22" s="194"/>
      <c r="AE22" s="194"/>
      <c r="AF22" s="194"/>
      <c r="AG22" s="194"/>
      <c r="AH22" s="194"/>
      <c r="AI22" s="197"/>
      <c r="AJ22" s="194"/>
      <c r="AK22" s="194"/>
      <c r="AL22" s="194"/>
      <c r="AM22" s="194"/>
      <c r="AN22" s="194"/>
      <c r="AO22" s="196"/>
      <c r="AP22" s="194"/>
      <c r="AQ22" s="194"/>
      <c r="AR22" s="194"/>
      <c r="AS22" s="194"/>
      <c r="AT22" s="194"/>
      <c r="AU22" s="197"/>
      <c r="AV22" s="194"/>
      <c r="AW22" s="194"/>
      <c r="AX22" s="194"/>
      <c r="AY22" s="194"/>
      <c r="AZ22" s="194"/>
      <c r="BA22" s="196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95"/>
      <c r="BT22" s="194"/>
      <c r="BU22" s="194"/>
      <c r="BV22" s="194"/>
      <c r="BW22" s="194"/>
      <c r="BX22" s="194"/>
      <c r="BY22" s="196"/>
      <c r="BZ22" s="194"/>
      <c r="CA22" s="194"/>
      <c r="CB22" s="194"/>
      <c r="CC22" s="194"/>
      <c r="CD22" s="194"/>
      <c r="CE22" s="197"/>
      <c r="CF22" s="194"/>
      <c r="CG22" s="194"/>
      <c r="CH22" s="194"/>
      <c r="CI22" s="194"/>
      <c r="CJ22" s="194"/>
      <c r="CK22" s="196"/>
      <c r="CL22" s="194"/>
      <c r="CM22" s="194"/>
      <c r="CN22" s="194"/>
      <c r="CO22" s="194"/>
      <c r="CP22" s="194"/>
      <c r="CQ22" s="197"/>
      <c r="CR22" s="194"/>
      <c r="CS22" s="194"/>
      <c r="CT22" s="194"/>
      <c r="CU22" s="194"/>
      <c r="CV22" s="194"/>
      <c r="CW22" s="196"/>
      <c r="CX22" s="194"/>
      <c r="CY22" s="194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93"/>
      <c r="DW22" s="194"/>
      <c r="DX22" s="194"/>
      <c r="DY22" s="194"/>
      <c r="DZ22" s="194"/>
      <c r="EA22" s="195"/>
      <c r="EB22" s="194"/>
      <c r="EC22" s="194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94"/>
      <c r="GK22" s="194"/>
      <c r="GL22" s="194"/>
      <c r="GM22" s="194"/>
      <c r="GN22" s="194"/>
      <c r="GO22" s="196"/>
      <c r="GP22" s="194"/>
      <c r="GQ22" s="194"/>
      <c r="GR22" s="194"/>
      <c r="GS22" s="194"/>
      <c r="GT22" s="194"/>
      <c r="GU22" s="197"/>
      <c r="GV22" s="194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94"/>
      <c r="LO22" s="194"/>
      <c r="LP22" s="194"/>
      <c r="LQ22" s="196"/>
      <c r="LR22" s="194"/>
      <c r="LS22" s="194"/>
      <c r="LT22" s="194"/>
      <c r="LU22" s="194"/>
      <c r="LV22" s="194"/>
      <c r="LW22" s="197"/>
      <c r="LX22" s="194"/>
      <c r="LY22" s="194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</row>
    <row r="23" spans="1:1625" ht="20.100000000000001" customHeight="1" x14ac:dyDescent="0.25">
      <c r="A23" s="78" t="s">
        <v>50</v>
      </c>
      <c r="B23" s="51" t="str">
        <f>IF(LEN(C31)=0,"",C31)</f>
        <v>Doc - Rapport</v>
      </c>
      <c r="C23" s="225" t="s">
        <v>71</v>
      </c>
      <c r="D23" s="119" t="str">
        <f t="shared" si="0"/>
        <v>8h 5 min</v>
      </c>
      <c r="E23" s="34">
        <v>97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77"/>
      <c r="EN23" s="172"/>
      <c r="EO23" s="172"/>
      <c r="EP23" s="172"/>
      <c r="EQ23" s="172"/>
      <c r="ER23" s="172"/>
      <c r="ES23" s="175"/>
      <c r="ET23" s="172"/>
      <c r="EU23" s="172"/>
      <c r="EV23" s="172"/>
      <c r="EW23" s="172"/>
      <c r="EX23" s="172"/>
      <c r="EY23" s="177"/>
      <c r="EZ23" s="172"/>
      <c r="FA23" s="172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5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72"/>
      <c r="JQ23" s="172"/>
      <c r="JR23" s="172"/>
      <c r="JS23" s="172"/>
      <c r="JT23" s="172"/>
      <c r="JU23" s="175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72"/>
      <c r="OB23" s="172"/>
      <c r="OC23" s="172"/>
      <c r="OD23" s="172"/>
      <c r="OE23" s="177"/>
      <c r="OF23" s="172"/>
      <c r="OG23" s="172"/>
      <c r="OH23" s="172"/>
      <c r="OI23" s="172"/>
      <c r="OJ23" s="172"/>
      <c r="OK23" s="175"/>
      <c r="OL23" s="172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71"/>
      <c r="UA23" s="172"/>
      <c r="UB23" s="172"/>
      <c r="UC23" s="172"/>
      <c r="UD23" s="172"/>
      <c r="UE23" s="173"/>
      <c r="UF23" s="172"/>
      <c r="UG23" s="172"/>
      <c r="UH23" s="172"/>
      <c r="UI23" s="172"/>
      <c r="UJ23" s="172"/>
      <c r="UK23" s="175"/>
      <c r="UL23" s="172"/>
      <c r="UM23" s="172"/>
      <c r="UN23" s="172"/>
      <c r="UO23" s="172"/>
      <c r="UP23" s="172"/>
      <c r="UQ23" s="177"/>
      <c r="UR23" s="172"/>
      <c r="US23" s="172"/>
      <c r="UT23" s="172"/>
      <c r="UU23" s="172"/>
      <c r="UV23" s="172"/>
      <c r="UW23" s="175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72"/>
      <c r="XC23" s="172"/>
      <c r="XD23" s="172"/>
      <c r="XE23" s="175"/>
      <c r="XF23" s="172"/>
      <c r="XG23" s="172"/>
      <c r="XH23" s="172"/>
      <c r="XI23" s="172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71"/>
      <c r="ADG23" s="172"/>
      <c r="ADH23" s="172"/>
      <c r="ADI23" s="172"/>
      <c r="ADJ23" s="172"/>
      <c r="ADK23" s="173"/>
      <c r="ADL23" s="172"/>
      <c r="ADM23" s="172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71"/>
      <c r="AHW23" s="172"/>
      <c r="AHX23" s="172"/>
      <c r="AHY23" s="172"/>
      <c r="AHZ23" s="172"/>
      <c r="AIA23" s="173"/>
      <c r="AIB23" s="172"/>
      <c r="AIC23" s="172"/>
      <c r="AID23" s="172"/>
      <c r="AIE23" s="172"/>
      <c r="AIF23" s="172"/>
      <c r="AIG23" s="175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</row>
    <row r="24" spans="1:1625" ht="20.100000000000001" customHeight="1" x14ac:dyDescent="0.25">
      <c r="A24" s="78" t="s">
        <v>51</v>
      </c>
      <c r="B24" s="51" t="str">
        <f>IF(LEN(C33)=0,"",C33)</f>
        <v xml:space="preserve">Implémentation - Commentaires code </v>
      </c>
      <c r="C24" s="226"/>
      <c r="D24" s="120" t="str">
        <f t="shared" si="0"/>
        <v xml:space="preserve"> 45 min</v>
      </c>
      <c r="E24" s="22">
        <v>9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99"/>
      <c r="JY24" s="199"/>
      <c r="JZ24" s="199"/>
      <c r="KA24" s="205"/>
      <c r="KB24" s="199"/>
      <c r="KC24" s="199"/>
      <c r="KD24" s="199"/>
      <c r="KE24" s="199"/>
      <c r="KF24" s="199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</row>
    <row r="25" spans="1:1625" ht="20.100000000000001" customHeight="1" x14ac:dyDescent="0.25">
      <c r="A25" s="78" t="s">
        <v>50</v>
      </c>
      <c r="B25" s="51" t="str">
        <f>IF(LEN(C35)=0,"",C35)</f>
        <v>Implémentation - Connexion réseau IOT</v>
      </c>
      <c r="C25" s="225" t="s">
        <v>81</v>
      </c>
      <c r="D25" s="119" t="str">
        <f t="shared" si="0"/>
        <v xml:space="preserve"> 50 min</v>
      </c>
      <c r="E25" s="26">
        <v>10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4"/>
      <c r="DX25" s="174"/>
      <c r="DY25" s="174"/>
      <c r="DZ25" s="174"/>
      <c r="EA25" s="178"/>
      <c r="EB25" s="174"/>
      <c r="EC25" s="174"/>
      <c r="ED25" s="174"/>
      <c r="EE25" s="174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</row>
    <row r="26" spans="1:1625" ht="20.100000000000001" customHeight="1" x14ac:dyDescent="0.3">
      <c r="A26" s="78" t="s">
        <v>51</v>
      </c>
      <c r="B26" s="51" t="str">
        <f>IF(LEN(C37)=0,"",C37)</f>
        <v>Implémentation - ESP32</v>
      </c>
      <c r="C26" s="226"/>
      <c r="D26" s="121" t="str">
        <f t="shared" si="0"/>
        <v>1h 30 min</v>
      </c>
      <c r="E26" s="30">
        <v>18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94"/>
      <c r="JL26" s="194"/>
      <c r="JM26" s="194"/>
      <c r="JN26" s="194"/>
      <c r="JO26" s="197"/>
      <c r="JP26" s="194"/>
      <c r="JQ26" s="194"/>
      <c r="JR26" s="194"/>
      <c r="JS26" s="194"/>
      <c r="JT26" s="194"/>
      <c r="JU26" s="196"/>
      <c r="JV26" s="194"/>
      <c r="JW26" s="194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94"/>
      <c r="MA26" s="194"/>
      <c r="MB26" s="194"/>
      <c r="MC26" s="196"/>
      <c r="MD26" s="194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</row>
    <row r="27" spans="1:1625" ht="20.100000000000001" customHeight="1" x14ac:dyDescent="0.25">
      <c r="A27" s="78" t="s">
        <v>50</v>
      </c>
      <c r="B27" s="51" t="str">
        <f>IF(LEN(C39)=0,"",C39)</f>
        <v>Implémentation - GIT</v>
      </c>
      <c r="C27" s="225" t="s">
        <v>85</v>
      </c>
      <c r="D27" s="119" t="str">
        <f t="shared" si="0"/>
        <v>2h 30 min</v>
      </c>
      <c r="E27" s="34">
        <v>30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71"/>
      <c r="IM27" s="172"/>
      <c r="IN27" s="172"/>
      <c r="IO27" s="172"/>
      <c r="IP27" s="172"/>
      <c r="IQ27" s="173"/>
      <c r="IR27" s="172"/>
      <c r="IS27" s="172"/>
      <c r="IT27" s="172"/>
      <c r="IU27" s="172"/>
      <c r="IV27" s="172"/>
      <c r="IW27" s="175"/>
      <c r="IX27" s="172"/>
      <c r="IY27" s="172"/>
      <c r="IZ27" s="172"/>
      <c r="JA27" s="172"/>
      <c r="JB27" s="172"/>
      <c r="JC27" s="177"/>
      <c r="JD27" s="172"/>
      <c r="JE27" s="172"/>
      <c r="JF27" s="172"/>
      <c r="JG27" s="172"/>
      <c r="JH27" s="172"/>
      <c r="JI27" s="175"/>
      <c r="JJ27" s="172"/>
      <c r="JK27" s="172"/>
      <c r="JL27" s="172"/>
      <c r="JM27" s="172"/>
      <c r="JN27" s="172"/>
      <c r="JO27" s="177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</row>
    <row r="28" spans="1:1625" ht="20.100000000000001" customHeight="1" x14ac:dyDescent="0.3">
      <c r="A28" s="78" t="s">
        <v>51</v>
      </c>
      <c r="B28" s="51" t="str">
        <f>IF(LEN(C41)=0,"",C41)</f>
        <v>Implémentation - Interface web</v>
      </c>
      <c r="C28" s="226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</row>
    <row r="29" spans="1:1625" ht="20.100000000000001" customHeight="1" x14ac:dyDescent="0.25">
      <c r="A29" s="78" t="s">
        <v>50</v>
      </c>
      <c r="B29" s="51" t="str">
        <f>IF(LEN(C43)=0,"",C43)</f>
        <v>Implémentation - Mise en place des branches ESP32</v>
      </c>
      <c r="C29" s="225" t="s">
        <v>53</v>
      </c>
      <c r="D29" s="119" t="str">
        <f t="shared" si="0"/>
        <v>2h 45 min</v>
      </c>
      <c r="E29" s="26">
        <v>33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74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74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79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74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74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79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74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74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74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79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74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74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79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74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74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74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79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74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74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79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74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74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79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74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80"/>
      <c r="BIJ29" s="174"/>
      <c r="BIK29" s="174"/>
      <c r="BIL29" s="174"/>
      <c r="BIM29" s="174"/>
      <c r="BIN29" s="174"/>
      <c r="BIO29" s="179"/>
      <c r="BIP29" s="174"/>
      <c r="BIQ29" s="174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</row>
    <row r="30" spans="1:1625" ht="20.100000000000001" customHeight="1" x14ac:dyDescent="0.3">
      <c r="A30" s="78" t="s">
        <v>51</v>
      </c>
      <c r="B30" s="51" t="str">
        <f>IF(LEN(C45)=0,"",C45)</f>
        <v>Implémentation - Stockage</v>
      </c>
      <c r="C30" s="231"/>
      <c r="D30" s="121" t="str">
        <f t="shared" si="0"/>
        <v xml:space="preserve"> 20 min</v>
      </c>
      <c r="E30" s="30">
        <v>4</v>
      </c>
      <c r="F30" s="187"/>
      <c r="G30" s="188"/>
      <c r="H30" s="188"/>
      <c r="I30" s="188"/>
      <c r="J30" s="188" t="s">
        <v>66</v>
      </c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94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6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94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94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</row>
    <row r="31" spans="1:1625" ht="20.100000000000001" customHeight="1" x14ac:dyDescent="0.25">
      <c r="A31" s="78" t="s">
        <v>50</v>
      </c>
      <c r="B31" s="51" t="str">
        <f>IF(LEN(C47)=0,"",C47)</f>
        <v>Meeting - Chef du projet</v>
      </c>
      <c r="C31" s="225" t="s">
        <v>54</v>
      </c>
      <c r="D31" s="119" t="str">
        <f t="shared" si="0"/>
        <v>26h</v>
      </c>
      <c r="E31" s="34">
        <v>312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72"/>
      <c r="EG31" s="175"/>
      <c r="EH31" s="172"/>
      <c r="EI31" s="172"/>
      <c r="EJ31" s="172"/>
      <c r="EK31" s="172"/>
      <c r="EL31" s="172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72"/>
      <c r="GQ31" s="172"/>
      <c r="GR31" s="172"/>
      <c r="GS31" s="172"/>
      <c r="GT31" s="172"/>
      <c r="GU31" s="177"/>
      <c r="GV31" s="172"/>
      <c r="GW31" s="172"/>
      <c r="GX31" s="172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71"/>
      <c r="KU31" s="172"/>
      <c r="KV31" s="172"/>
      <c r="KW31" s="172"/>
      <c r="KX31" s="172"/>
      <c r="KY31" s="173"/>
      <c r="KZ31" s="172"/>
      <c r="LA31" s="172"/>
      <c r="LB31" s="172"/>
      <c r="LC31" s="172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72"/>
      <c r="LQ31" s="175"/>
      <c r="LR31" s="172"/>
      <c r="LS31" s="172"/>
      <c r="LT31" s="172"/>
      <c r="LU31" s="172"/>
      <c r="LV31" s="172"/>
      <c r="LW31" s="177"/>
      <c r="LX31" s="172"/>
      <c r="LY31" s="172"/>
      <c r="LZ31" s="172"/>
      <c r="MA31" s="172"/>
      <c r="MB31" s="172"/>
      <c r="MC31" s="175"/>
      <c r="MD31" s="172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72"/>
      <c r="NR31" s="172"/>
      <c r="NS31" s="177"/>
      <c r="NT31" s="172"/>
      <c r="NU31" s="172"/>
      <c r="NV31" s="172"/>
      <c r="NW31" s="172"/>
      <c r="NX31" s="172"/>
      <c r="NY31" s="175"/>
      <c r="NZ31" s="172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72"/>
      <c r="SR31" s="172"/>
      <c r="SS31" s="172"/>
      <c r="ST31" s="172"/>
      <c r="SU31" s="177"/>
      <c r="SV31" s="172"/>
      <c r="SW31" s="172"/>
      <c r="SX31" s="172"/>
      <c r="SY31" s="172"/>
      <c r="SZ31" s="172"/>
      <c r="TA31" s="175"/>
      <c r="TB31" s="172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71"/>
      <c r="YQ31" s="172"/>
      <c r="YR31" s="172"/>
      <c r="YS31" s="172"/>
      <c r="YT31" s="172"/>
      <c r="YU31" s="173"/>
      <c r="YV31" s="172"/>
      <c r="YW31" s="172"/>
      <c r="YX31" s="172"/>
      <c r="YY31" s="172"/>
      <c r="YZ31" s="172"/>
      <c r="ZA31" s="175"/>
      <c r="ZB31" s="172"/>
      <c r="ZC31" s="172"/>
      <c r="ZD31" s="172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72"/>
      <c r="ABZ31" s="172"/>
      <c r="ACA31" s="177"/>
      <c r="ACB31" s="172"/>
      <c r="ACC31" s="172"/>
      <c r="ACD31" s="172"/>
      <c r="ACE31" s="172"/>
      <c r="ACF31" s="172"/>
      <c r="ACG31" s="175"/>
      <c r="ACH31" s="172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72"/>
      <c r="AGA31" s="172"/>
      <c r="AGB31" s="172"/>
      <c r="AGC31" s="172"/>
      <c r="AGD31" s="172"/>
      <c r="AGE31" s="177"/>
      <c r="AGF31" s="172"/>
      <c r="AGG31" s="172"/>
      <c r="AGH31" s="172"/>
      <c r="AGI31" s="172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72"/>
      <c r="ANG31" s="172"/>
      <c r="ANH31" s="172"/>
      <c r="ANI31" s="175"/>
      <c r="ANJ31" s="172"/>
      <c r="ANK31" s="172"/>
      <c r="ANL31" s="172"/>
      <c r="ANM31" s="172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72"/>
      <c r="AQI31" s="177"/>
      <c r="AQJ31" s="172"/>
      <c r="AQK31" s="172"/>
      <c r="AQL31" s="172"/>
      <c r="AQM31" s="172"/>
      <c r="AQN31" s="172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72"/>
      <c r="ASC31" s="172"/>
      <c r="ASD31" s="172"/>
      <c r="ASE31" s="177"/>
      <c r="ASF31" s="172"/>
      <c r="ASG31" s="172"/>
      <c r="ASH31" s="172"/>
      <c r="ASI31" s="172"/>
      <c r="ASJ31" s="172"/>
      <c r="ASK31" s="175"/>
      <c r="ASL31" s="172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72"/>
      <c r="ATW31" s="172"/>
      <c r="ATX31" s="172"/>
      <c r="ATY31" s="172"/>
      <c r="ATZ31" s="172"/>
      <c r="AUA31" s="177"/>
      <c r="AUB31" s="172"/>
      <c r="AUC31" s="172"/>
      <c r="AUD31" s="172"/>
      <c r="AUE31" s="172"/>
      <c r="AUF31" s="172"/>
      <c r="AUG31" s="175"/>
      <c r="AUH31" s="172"/>
      <c r="AUI31" s="172"/>
      <c r="AUJ31" s="172"/>
      <c r="AUK31" s="172"/>
      <c r="AUL31" s="172"/>
      <c r="AUM31" s="177"/>
      <c r="AUN31" s="172"/>
      <c r="AUO31" s="172"/>
      <c r="AUP31" s="172"/>
      <c r="AUQ31" s="172"/>
      <c r="AUR31" s="172"/>
      <c r="AUS31" s="175"/>
      <c r="AUT31" s="172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72"/>
      <c r="AXG31" s="177"/>
      <c r="AXH31" s="172"/>
      <c r="AXI31" s="172"/>
      <c r="AXJ31" s="172"/>
      <c r="AXK31" s="172"/>
      <c r="AXL31" s="172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72"/>
      <c r="AYK31" s="175"/>
      <c r="AYL31" s="172"/>
      <c r="AYM31" s="172"/>
      <c r="AYN31" s="172"/>
      <c r="AYO31" s="172"/>
      <c r="AYP31" s="172"/>
      <c r="AYQ31" s="177"/>
      <c r="AYR31" s="172"/>
      <c r="AYS31" s="172"/>
      <c r="AYT31" s="172"/>
      <c r="AYU31" s="172"/>
      <c r="AYV31" s="172"/>
      <c r="AYW31" s="175"/>
      <c r="AYX31" s="172"/>
      <c r="AYY31" s="172"/>
      <c r="AYZ31" s="172"/>
      <c r="AZA31" s="172"/>
      <c r="AZB31" s="172"/>
      <c r="AZC31" s="177"/>
      <c r="AZD31" s="172"/>
      <c r="AZE31" s="172"/>
      <c r="AZF31" s="172"/>
      <c r="AZG31" s="172"/>
      <c r="AZH31" s="172"/>
      <c r="AZI31" s="175"/>
      <c r="AZJ31" s="172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71"/>
      <c r="BAI31" s="172"/>
      <c r="BAJ31" s="172"/>
      <c r="BAK31" s="172"/>
      <c r="BAL31" s="172"/>
      <c r="BAM31" s="173"/>
      <c r="BAN31" s="172"/>
      <c r="BAO31" s="172"/>
      <c r="BAP31" s="172"/>
      <c r="BAQ31" s="172"/>
      <c r="BAR31" s="172"/>
      <c r="BAS31" s="175"/>
      <c r="BAT31" s="172"/>
      <c r="BAU31" s="172"/>
      <c r="BAV31" s="172"/>
      <c r="BAW31" s="172"/>
      <c r="BAX31" s="172"/>
      <c r="BAY31" s="177"/>
      <c r="BAZ31" s="172"/>
      <c r="BBA31" s="172"/>
      <c r="BBB31" s="172"/>
      <c r="BBC31" s="172"/>
      <c r="BBD31" s="172"/>
      <c r="BBE31" s="175"/>
      <c r="BBF31" s="172"/>
      <c r="BBG31" s="172"/>
      <c r="BBH31" s="172"/>
      <c r="BBI31" s="172"/>
      <c r="BBJ31" s="172"/>
      <c r="BBK31" s="177"/>
      <c r="BBL31" s="172"/>
      <c r="BBM31" s="172"/>
      <c r="BBN31" s="172"/>
      <c r="BBO31" s="172"/>
      <c r="BBP31" s="172"/>
      <c r="BBQ31" s="175"/>
      <c r="BBR31" s="172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71"/>
      <c r="BCQ31" s="172"/>
      <c r="BCR31" s="172"/>
      <c r="BCS31" s="172"/>
      <c r="BCT31" s="172"/>
      <c r="BCU31" s="173"/>
      <c r="BCV31" s="172"/>
      <c r="BCW31" s="172"/>
      <c r="BCX31" s="172"/>
      <c r="BCY31" s="172"/>
      <c r="BCZ31" s="172"/>
      <c r="BDA31" s="175"/>
      <c r="BDB31" s="172"/>
      <c r="BDC31" s="172"/>
      <c r="BDD31" s="172"/>
      <c r="BDE31" s="172"/>
      <c r="BDF31" s="172"/>
      <c r="BDG31" s="177"/>
      <c r="BDH31" s="172"/>
      <c r="BDI31" s="172"/>
      <c r="BDJ31" s="172"/>
      <c r="BDK31" s="172"/>
      <c r="BDL31" s="172"/>
      <c r="BDM31" s="175"/>
      <c r="BDN31" s="172"/>
      <c r="BDO31" s="172"/>
      <c r="BDP31" s="172"/>
      <c r="BDQ31" s="172"/>
      <c r="BDR31" s="172"/>
      <c r="BDS31" s="177"/>
      <c r="BDT31" s="172"/>
      <c r="BDU31" s="172"/>
      <c r="BDV31" s="172"/>
      <c r="BDW31" s="172"/>
      <c r="BDX31" s="172"/>
      <c r="BDY31" s="175"/>
      <c r="BDZ31" s="172"/>
      <c r="BEA31" s="172"/>
      <c r="BEB31" s="172"/>
      <c r="BEC31" s="172"/>
      <c r="BED31" s="172"/>
      <c r="BEE31" s="177"/>
      <c r="BEF31" s="172"/>
      <c r="BEG31" s="172"/>
      <c r="BEH31" s="172"/>
      <c r="BEI31" s="172"/>
      <c r="BEJ31" s="172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71"/>
      <c r="BEY31" s="172"/>
      <c r="BEZ31" s="172"/>
      <c r="BFA31" s="172"/>
      <c r="BFB31" s="172"/>
      <c r="BFC31" s="173"/>
      <c r="BFD31" s="172"/>
      <c r="BFE31" s="172"/>
      <c r="BFF31" s="172"/>
      <c r="BFG31" s="172"/>
      <c r="BFH31" s="172"/>
      <c r="BFI31" s="175"/>
      <c r="BFJ31" s="172"/>
      <c r="BFK31" s="172"/>
      <c r="BFL31" s="172"/>
      <c r="BFM31" s="172"/>
      <c r="BFN31" s="172"/>
      <c r="BFO31" s="177"/>
      <c r="BFP31" s="172"/>
      <c r="BFQ31" s="172"/>
      <c r="BFR31" s="172"/>
      <c r="BFS31" s="172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71"/>
      <c r="BHG31" s="172"/>
      <c r="BHH31" s="172"/>
      <c r="BHI31" s="172"/>
      <c r="BHJ31" s="172"/>
      <c r="BHK31" s="173"/>
      <c r="BHL31" s="172"/>
      <c r="BHM31" s="172"/>
      <c r="BHN31" s="172"/>
      <c r="BHO31" s="172"/>
      <c r="BHP31" s="172"/>
      <c r="BHQ31" s="175"/>
      <c r="BHR31" s="172"/>
      <c r="BHS31" s="172"/>
      <c r="BHT31" s="172"/>
      <c r="BHU31" s="172"/>
      <c r="BHV31" s="172"/>
      <c r="BHW31" s="177"/>
      <c r="BHX31" s="172"/>
      <c r="BHY31" s="172"/>
      <c r="BHZ31" s="172"/>
      <c r="BIA31" s="172"/>
      <c r="BIB31" s="172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</row>
    <row r="32" spans="1:1625" ht="20.100000000000001" customHeight="1" x14ac:dyDescent="0.3">
      <c r="A32" s="78" t="s">
        <v>51</v>
      </c>
      <c r="B32" s="51" t="str">
        <f>IF(LEN(C49)=0,"",C49)</f>
        <v>Meeting - Expert 1</v>
      </c>
      <c r="C32" s="226"/>
      <c r="D32" s="121" t="str">
        <f t="shared" si="0"/>
        <v>8h 10 min</v>
      </c>
      <c r="E32" s="22">
        <v>98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99"/>
      <c r="ER32" s="199"/>
      <c r="ES32" s="198"/>
      <c r="ET32" s="199"/>
      <c r="EU32" s="199"/>
      <c r="EV32" s="199"/>
      <c r="EW32" s="199"/>
      <c r="EX32" s="199"/>
      <c r="EY32" s="205"/>
      <c r="EZ32" s="199"/>
      <c r="FA32" s="199"/>
      <c r="FB32" s="199"/>
      <c r="FC32" s="199"/>
      <c r="FD32" s="199"/>
      <c r="FE32" s="198"/>
      <c r="FF32" s="199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203"/>
      <c r="IM32" s="199"/>
      <c r="IN32" s="199"/>
      <c r="IO32" s="199"/>
      <c r="IP32" s="199"/>
      <c r="IQ32" s="204"/>
      <c r="IR32" s="199"/>
      <c r="IS32" s="199"/>
      <c r="IT32" s="199"/>
      <c r="IU32" s="199"/>
      <c r="IV32" s="199"/>
      <c r="IW32" s="198"/>
      <c r="IX32" s="199"/>
      <c r="IY32" s="199"/>
      <c r="IZ32" s="199"/>
      <c r="JA32" s="199"/>
      <c r="JB32" s="199"/>
      <c r="JC32" s="205"/>
      <c r="JD32" s="199"/>
      <c r="JE32" s="199"/>
      <c r="JF32" s="199"/>
      <c r="JG32" s="199"/>
      <c r="JH32" s="199"/>
      <c r="JI32" s="198"/>
      <c r="JJ32" s="199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203"/>
      <c r="KU32" s="199"/>
      <c r="KV32" s="199"/>
      <c r="KW32" s="199"/>
      <c r="KX32" s="199"/>
      <c r="KY32" s="204"/>
      <c r="KZ32" s="199"/>
      <c r="LA32" s="199"/>
      <c r="LB32" s="199"/>
      <c r="LC32" s="199"/>
      <c r="LD32" s="199"/>
      <c r="LE32" s="198"/>
      <c r="LF32" s="199"/>
      <c r="LG32" s="199"/>
      <c r="LH32" s="199"/>
      <c r="LI32" s="199"/>
      <c r="LJ32" s="199"/>
      <c r="LK32" s="205"/>
      <c r="LL32" s="199"/>
      <c r="LM32" s="199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203"/>
      <c r="NC32" s="199"/>
      <c r="ND32" s="199"/>
      <c r="NE32" s="199"/>
      <c r="NF32" s="199"/>
      <c r="NG32" s="204"/>
      <c r="NH32" s="199"/>
      <c r="NI32" s="199"/>
      <c r="NJ32" s="199"/>
      <c r="NK32" s="199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203"/>
      <c r="PK32" s="199"/>
      <c r="PL32" s="199"/>
      <c r="PM32" s="199"/>
      <c r="PN32" s="199"/>
      <c r="PO32" s="204"/>
      <c r="PP32" s="199"/>
      <c r="PQ32" s="199"/>
      <c r="PR32" s="199"/>
      <c r="PS32" s="199"/>
      <c r="PT32" s="199"/>
      <c r="PU32" s="198"/>
      <c r="PV32" s="199"/>
      <c r="PW32" s="199"/>
      <c r="PX32" s="199"/>
      <c r="PY32" s="199"/>
      <c r="PZ32" s="199"/>
      <c r="QA32" s="205"/>
      <c r="QB32" s="199"/>
      <c r="QC32" s="199"/>
      <c r="QD32" s="199"/>
      <c r="QE32" s="199"/>
      <c r="QF32" s="199"/>
      <c r="QG32" s="198"/>
      <c r="QH32" s="199"/>
      <c r="QI32" s="199"/>
      <c r="QJ32" s="199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</row>
    <row r="33" spans="1:1625" ht="20.100000000000001" customHeight="1" x14ac:dyDescent="0.25">
      <c r="A33" s="78" t="s">
        <v>50</v>
      </c>
      <c r="B33" s="51" t="str">
        <f>IF(LEN(C51)=0,"",C51)</f>
        <v>Meeting - Expert 2</v>
      </c>
      <c r="C33" s="225" t="s">
        <v>82</v>
      </c>
      <c r="D33" s="119" t="str">
        <f t="shared" si="0"/>
        <v xml:space="preserve"> 50 min</v>
      </c>
      <c r="E33" s="26">
        <v>10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76"/>
      <c r="AYA33" s="174"/>
      <c r="AYB33" s="174"/>
      <c r="AYC33" s="174"/>
      <c r="AYD33" s="174"/>
      <c r="AYE33" s="178"/>
      <c r="AYF33" s="174"/>
      <c r="AYG33" s="174"/>
      <c r="AYH33" s="174"/>
      <c r="AYI33" s="174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</row>
    <row r="34" spans="1:1625" ht="20.100000000000001" customHeight="1" x14ac:dyDescent="0.3">
      <c r="A34" s="78" t="s">
        <v>51</v>
      </c>
      <c r="B34" s="51" t="str">
        <f>IF(LEN(C53)=0,"",C53)</f>
        <v/>
      </c>
      <c r="C34" s="231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</row>
    <row r="35" spans="1:1625" ht="20.100000000000001" customHeight="1" x14ac:dyDescent="0.25">
      <c r="A35" s="78" t="s">
        <v>50</v>
      </c>
      <c r="B35" s="51" t="str">
        <f>IF(LEN(C55)=0,"",C55)</f>
        <v/>
      </c>
      <c r="C35" s="225" t="s">
        <v>74</v>
      </c>
      <c r="D35" s="119" t="str">
        <f t="shared" si="0"/>
        <v>1h 55 min</v>
      </c>
      <c r="E35" s="34">
        <v>23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72"/>
      <c r="JW35" s="172"/>
      <c r="JX35" s="172"/>
      <c r="JY35" s="172"/>
      <c r="JZ35" s="172"/>
      <c r="KA35" s="177"/>
      <c r="KB35" s="172"/>
      <c r="KC35" s="172"/>
      <c r="KD35" s="172"/>
      <c r="KE35" s="172"/>
      <c r="KF35" s="172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72"/>
      <c r="LE35" s="175"/>
      <c r="LF35" s="172"/>
      <c r="LG35" s="172"/>
      <c r="LH35" s="172"/>
      <c r="LI35" s="172"/>
      <c r="LJ35" s="172"/>
      <c r="LK35" s="177"/>
      <c r="LL35" s="172"/>
      <c r="LM35" s="172"/>
      <c r="LN35" s="172"/>
      <c r="LO35" s="172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</row>
    <row r="36" spans="1:1625" ht="20.100000000000001" customHeight="1" x14ac:dyDescent="0.25">
      <c r="A36" s="78" t="s">
        <v>51</v>
      </c>
      <c r="B36" s="51" t="str">
        <f>IF(LEN(C57)=0,"",C57)</f>
        <v/>
      </c>
      <c r="C36" s="226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</row>
    <row r="37" spans="1:1625" ht="20.100000000000001" customHeight="1" x14ac:dyDescent="0.25">
      <c r="A37" s="78" t="s">
        <v>50</v>
      </c>
      <c r="B37" s="51" t="str">
        <f>IF(LEN(C59)=0,"",C59)</f>
        <v/>
      </c>
      <c r="C37" s="225" t="s">
        <v>103</v>
      </c>
      <c r="D37" s="119" t="str">
        <f t="shared" si="0"/>
        <v>11h 5 min</v>
      </c>
      <c r="E37" s="26">
        <v>133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80"/>
      <c r="QB37" s="174"/>
      <c r="QC37" s="174"/>
      <c r="QD37" s="174"/>
      <c r="QE37" s="174"/>
      <c r="QF37" s="174"/>
      <c r="QG37" s="179"/>
      <c r="QH37" s="174"/>
      <c r="QI37" s="174"/>
      <c r="QJ37" s="174"/>
      <c r="QK37" s="174"/>
      <c r="QL37" s="174"/>
      <c r="QM37" s="180"/>
      <c r="QN37" s="174"/>
      <c r="QO37" s="174"/>
      <c r="QP37" s="174"/>
      <c r="QQ37" s="174"/>
      <c r="QR37" s="174"/>
      <c r="QS37" s="179"/>
      <c r="QT37" s="174"/>
      <c r="QU37" s="174"/>
      <c r="QV37" s="174"/>
      <c r="QW37" s="174"/>
      <c r="QX37" s="174"/>
      <c r="QY37" s="180"/>
      <c r="QZ37" s="174"/>
      <c r="RA37" s="174"/>
      <c r="RB37" s="174"/>
      <c r="RC37" s="174"/>
      <c r="RD37" s="174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76"/>
      <c r="RS37" s="174"/>
      <c r="RT37" s="174"/>
      <c r="RU37" s="174"/>
      <c r="RV37" s="174"/>
      <c r="RW37" s="178"/>
      <c r="RX37" s="174"/>
      <c r="RY37" s="174"/>
      <c r="RZ37" s="174"/>
      <c r="SA37" s="174"/>
      <c r="SB37" s="174"/>
      <c r="SC37" s="179"/>
      <c r="SD37" s="174"/>
      <c r="SE37" s="174"/>
      <c r="SF37" s="174"/>
      <c r="SG37" s="174"/>
      <c r="SH37" s="174"/>
      <c r="SI37" s="180"/>
      <c r="SJ37" s="174"/>
      <c r="SK37" s="174"/>
      <c r="SL37" s="174"/>
      <c r="SM37" s="174"/>
      <c r="SN37" s="174"/>
      <c r="SO37" s="179"/>
      <c r="SP37" s="174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76"/>
      <c r="ARC37" s="174"/>
      <c r="ARD37" s="174"/>
      <c r="ARE37" s="174"/>
      <c r="ARF37" s="174"/>
      <c r="ARG37" s="178"/>
      <c r="ARH37" s="174"/>
      <c r="ARI37" s="174"/>
      <c r="ARJ37" s="174"/>
      <c r="ARK37" s="174"/>
      <c r="ARL37" s="174"/>
      <c r="ARM37" s="179"/>
      <c r="ARN37" s="174"/>
      <c r="ARO37" s="174"/>
      <c r="ARP37" s="174"/>
      <c r="ARQ37" s="174"/>
      <c r="ARR37" s="174"/>
      <c r="ARS37" s="180"/>
      <c r="ART37" s="174"/>
      <c r="ARU37" s="174"/>
      <c r="ARV37" s="174"/>
      <c r="ARW37" s="174"/>
      <c r="ARX37" s="174"/>
      <c r="ARY37" s="179"/>
      <c r="ARZ37" s="174"/>
      <c r="ASA37" s="174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76"/>
      <c r="ATK37" s="174"/>
      <c r="ATL37" s="174"/>
      <c r="ATM37" s="174"/>
      <c r="ATN37" s="174"/>
      <c r="ATO37" s="178"/>
      <c r="ATP37" s="174"/>
      <c r="ATQ37" s="174"/>
      <c r="ATR37" s="174"/>
      <c r="ATS37" s="174"/>
      <c r="ATT37" s="174"/>
      <c r="ATU37" s="179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76"/>
      <c r="AVS37" s="174"/>
      <c r="AVT37" s="174"/>
      <c r="AVU37" s="174"/>
      <c r="AVV37" s="174"/>
      <c r="AVW37" s="178"/>
      <c r="AVX37" s="174"/>
      <c r="AVY37" s="174"/>
      <c r="AVZ37" s="174"/>
      <c r="AWA37" s="174"/>
      <c r="AWB37" s="174"/>
      <c r="AWC37" s="179"/>
      <c r="AWD37" s="174"/>
      <c r="AWE37" s="174"/>
      <c r="AWF37" s="174"/>
      <c r="AWG37" s="174"/>
      <c r="AWH37" s="174"/>
      <c r="AWI37" s="180"/>
      <c r="AWJ37" s="174"/>
      <c r="AWK37" s="174"/>
      <c r="AWL37" s="174"/>
      <c r="AWM37" s="174"/>
      <c r="AWN37" s="174"/>
      <c r="AWO37" s="179"/>
      <c r="AWP37" s="174"/>
      <c r="AWQ37" s="174"/>
      <c r="AWR37" s="174"/>
      <c r="AWS37" s="174"/>
      <c r="AWT37" s="174"/>
      <c r="AWU37" s="180"/>
      <c r="AWV37" s="174"/>
      <c r="AWW37" s="174"/>
      <c r="AWX37" s="174"/>
      <c r="AWY37" s="174"/>
      <c r="AWZ37" s="174"/>
      <c r="AXA37" s="179"/>
      <c r="AXB37" s="174"/>
      <c r="AXC37" s="174"/>
      <c r="AXD37" s="174"/>
      <c r="AXE37" s="174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</row>
    <row r="38" spans="1:1625" ht="20.100000000000001" customHeight="1" x14ac:dyDescent="0.3">
      <c r="A38" s="78" t="s">
        <v>51</v>
      </c>
      <c r="B38" s="51" t="str">
        <f>IF(LEN(C61)=0,"",C61)</f>
        <v/>
      </c>
      <c r="C38" s="226"/>
      <c r="D38" s="121" t="str">
        <f t="shared" si="0"/>
        <v>2h</v>
      </c>
      <c r="E38" s="30">
        <v>24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94"/>
      <c r="NM38" s="196"/>
      <c r="NN38" s="194"/>
      <c r="NO38" s="194"/>
      <c r="NP38" s="194"/>
      <c r="NQ38" s="194"/>
      <c r="NR38" s="194"/>
      <c r="NS38" s="197"/>
      <c r="NT38" s="194"/>
      <c r="NU38" s="194"/>
      <c r="NV38" s="194"/>
      <c r="NW38" s="194"/>
      <c r="NX38" s="194"/>
      <c r="NY38" s="196"/>
      <c r="NZ38" s="194"/>
      <c r="OA38" s="194"/>
      <c r="OB38" s="194"/>
      <c r="OC38" s="194"/>
      <c r="OD38" s="194"/>
      <c r="OE38" s="197"/>
      <c r="OF38" s="194"/>
      <c r="OG38" s="194"/>
      <c r="OH38" s="194"/>
      <c r="OI38" s="194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</row>
    <row r="39" spans="1:1625" ht="20.100000000000001" customHeight="1" x14ac:dyDescent="0.25">
      <c r="A39" s="78" t="s">
        <v>50</v>
      </c>
      <c r="B39" s="51" t="str">
        <f>IF(LEN(C63)=0,"",C63)</f>
        <v/>
      </c>
      <c r="C39" s="225" t="s">
        <v>88</v>
      </c>
      <c r="D39" s="119" t="str">
        <f t="shared" si="0"/>
        <v xml:space="preserve"> 35 min</v>
      </c>
      <c r="E39" s="34">
        <v>7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72"/>
      <c r="GZ39" s="172"/>
      <c r="HA39" s="175"/>
      <c r="HB39" s="172"/>
      <c r="HC39" s="172"/>
      <c r="HD39" s="172"/>
      <c r="HE39" s="172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</row>
    <row r="40" spans="1:1625" ht="20.100000000000001" customHeight="1" x14ac:dyDescent="0.25">
      <c r="A40" s="78" t="s">
        <v>51</v>
      </c>
      <c r="B40" s="51" t="str">
        <f>IF(LEN(C65)=0,"",C65)</f>
        <v/>
      </c>
      <c r="C40" s="226"/>
      <c r="D40" s="120" t="str">
        <f t="shared" si="0"/>
        <v xml:space="preserve"> 40 min</v>
      </c>
      <c r="E40" s="22">
        <v>8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99"/>
      <c r="EE40" s="199"/>
      <c r="EF40" s="199"/>
      <c r="EG40" s="198"/>
      <c r="EH40" s="199"/>
      <c r="EI40" s="199"/>
      <c r="EJ40" s="199"/>
      <c r="EK40" s="199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</row>
    <row r="41" spans="1:1625" ht="20.100000000000001" customHeight="1" x14ac:dyDescent="0.25">
      <c r="A41" s="78" t="s">
        <v>50</v>
      </c>
      <c r="B41" s="51" t="str">
        <f>IF(LEN(C67)=0,"",C67)</f>
        <v/>
      </c>
      <c r="C41" s="225" t="s">
        <v>75</v>
      </c>
      <c r="D41" s="119" t="str">
        <f t="shared" si="0"/>
        <v>12h 50 min</v>
      </c>
      <c r="E41" s="26">
        <v>154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76"/>
      <c r="NC41" s="174"/>
      <c r="ND41" s="174"/>
      <c r="NE41" s="174"/>
      <c r="NF41" s="174"/>
      <c r="NG41" s="178"/>
      <c r="NH41" s="174"/>
      <c r="NI41" s="174"/>
      <c r="NJ41" s="174"/>
      <c r="NK41" s="174"/>
      <c r="NL41" s="174"/>
      <c r="NM41" s="179"/>
      <c r="NN41" s="174"/>
      <c r="NO41" s="174"/>
      <c r="NP41" s="174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74"/>
      <c r="UY41" s="174"/>
      <c r="UZ41" s="174"/>
      <c r="VA41" s="174"/>
      <c r="VB41" s="174"/>
      <c r="VC41" s="180"/>
      <c r="VD41" s="174"/>
      <c r="VE41" s="174"/>
      <c r="VF41" s="174"/>
      <c r="VG41" s="174"/>
      <c r="VH41" s="174"/>
      <c r="VI41" s="179"/>
      <c r="VJ41" s="174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6"/>
      <c r="WI41" s="174"/>
      <c r="WJ41" s="174"/>
      <c r="WK41" s="174"/>
      <c r="WL41" s="174"/>
      <c r="WM41" s="178"/>
      <c r="WN41" s="174"/>
      <c r="WO41" s="174"/>
      <c r="WP41" s="174"/>
      <c r="WQ41" s="174"/>
      <c r="WR41" s="174"/>
      <c r="WS41" s="179"/>
      <c r="WT41" s="174"/>
      <c r="WU41" s="174"/>
      <c r="WV41" s="174"/>
      <c r="WW41" s="174"/>
      <c r="WX41" s="174"/>
      <c r="WY41" s="180"/>
      <c r="WZ41" s="174"/>
      <c r="XA41" s="174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74"/>
      <c r="ZM41" s="179"/>
      <c r="ZN41" s="174"/>
      <c r="ZO41" s="174"/>
      <c r="ZP41" s="174"/>
      <c r="ZQ41" s="174"/>
      <c r="ZR41" s="174"/>
      <c r="ZS41" s="180"/>
      <c r="ZT41" s="174"/>
      <c r="ZU41" s="174"/>
      <c r="ZV41" s="174"/>
      <c r="ZW41" s="174"/>
      <c r="ZX41" s="174"/>
      <c r="ZY41" s="179"/>
      <c r="ZZ41" s="174"/>
      <c r="AAA41" s="174"/>
      <c r="AAB41" s="174"/>
      <c r="AAC41" s="174"/>
      <c r="AAD41" s="174"/>
      <c r="AAE41" s="180"/>
      <c r="AAF41" s="174"/>
      <c r="AAG41" s="174"/>
      <c r="AAH41" s="174"/>
      <c r="AAI41" s="174"/>
      <c r="AAJ41" s="174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76"/>
      <c r="AAY41" s="174"/>
      <c r="AAZ41" s="174"/>
      <c r="ABA41" s="174"/>
      <c r="ABB41" s="174"/>
      <c r="ABC41" s="178"/>
      <c r="ABD41" s="174"/>
      <c r="ABE41" s="174"/>
      <c r="ABF41" s="174"/>
      <c r="ABG41" s="174"/>
      <c r="ABH41" s="174"/>
      <c r="ABI41" s="179"/>
      <c r="ABJ41" s="174"/>
      <c r="ABK41" s="174"/>
      <c r="ABL41" s="174"/>
      <c r="ABM41" s="174"/>
      <c r="ABN41" s="174"/>
      <c r="ABO41" s="180"/>
      <c r="ABP41" s="174"/>
      <c r="ABQ41" s="174"/>
      <c r="ABR41" s="174"/>
      <c r="ABS41" s="174"/>
      <c r="ABT41" s="174"/>
      <c r="ABU41" s="179"/>
      <c r="ABV41" s="174"/>
      <c r="ABW41" s="174"/>
      <c r="ABX41" s="174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74"/>
      <c r="ADO41" s="174"/>
      <c r="ADP41" s="174"/>
      <c r="ADQ41" s="179"/>
      <c r="ADR41" s="174"/>
      <c r="ADS41" s="174"/>
      <c r="ADT41" s="174"/>
      <c r="ADU41" s="174"/>
      <c r="ADV41" s="174"/>
      <c r="ADW41" s="180"/>
      <c r="ADX41" s="174"/>
      <c r="ADY41" s="174"/>
      <c r="ADZ41" s="174"/>
      <c r="AEA41" s="174"/>
      <c r="AEB41" s="174"/>
      <c r="AEC41" s="179"/>
      <c r="AED41" s="174"/>
      <c r="AEE41" s="174"/>
      <c r="AEF41" s="174"/>
      <c r="AEG41" s="174"/>
      <c r="AEH41" s="174"/>
      <c r="AEI41" s="180"/>
      <c r="AEJ41" s="174"/>
      <c r="AEK41" s="174"/>
      <c r="AEL41" s="174"/>
      <c r="AEM41" s="174"/>
      <c r="AEN41" s="174"/>
      <c r="AEO41" s="179"/>
      <c r="AEP41" s="174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74"/>
      <c r="AGK41" s="179"/>
      <c r="AGL41" s="174"/>
      <c r="AGM41" s="174"/>
      <c r="AGN41" s="174"/>
      <c r="AGO41" s="174"/>
      <c r="AGP41" s="174"/>
      <c r="AGQ41" s="180"/>
      <c r="AGR41" s="174"/>
      <c r="AGS41" s="174"/>
      <c r="AGT41" s="174"/>
      <c r="AGU41" s="174"/>
      <c r="AGV41" s="174"/>
      <c r="AGW41" s="179"/>
      <c r="AGX41" s="174"/>
      <c r="AGY41" s="174"/>
      <c r="AGZ41" s="174"/>
      <c r="AHA41" s="174"/>
      <c r="AHB41" s="174"/>
      <c r="AHC41" s="180"/>
      <c r="AHD41" s="174"/>
      <c r="AHE41" s="174"/>
      <c r="AHF41" s="174"/>
      <c r="AHG41" s="174"/>
      <c r="AHH41" s="174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</row>
    <row r="42" spans="1:1625" ht="20.100000000000001" customHeight="1" x14ac:dyDescent="0.3">
      <c r="A42" s="78" t="s">
        <v>51</v>
      </c>
      <c r="B42" s="51" t="str">
        <f>IF(LEN(C69)=0,"",C69)</f>
        <v/>
      </c>
      <c r="C42" s="231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</row>
    <row r="43" spans="1:1625" ht="20.100000000000001" customHeight="1" x14ac:dyDescent="0.25">
      <c r="A43" s="78" t="s">
        <v>50</v>
      </c>
      <c r="B43" s="51" t="str">
        <f>IF(LEN(C71)=0,"",C71)</f>
        <v/>
      </c>
      <c r="C43" s="225" t="s">
        <v>77</v>
      </c>
      <c r="D43" s="119" t="str">
        <f t="shared" si="0"/>
        <v xml:space="preserve"> 55 min</v>
      </c>
      <c r="E43" s="26">
        <v>11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76"/>
      <c r="PK43" s="174"/>
      <c r="PL43" s="174"/>
      <c r="PM43" s="174"/>
      <c r="PN43" s="174"/>
      <c r="PO43" s="178"/>
      <c r="PP43" s="174"/>
      <c r="PQ43" s="174"/>
      <c r="PR43" s="174"/>
      <c r="PS43" s="174"/>
      <c r="PT43" s="174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</row>
    <row r="44" spans="1:1625" ht="20.100000000000001" customHeight="1" x14ac:dyDescent="0.3">
      <c r="A44" s="78" t="s">
        <v>51</v>
      </c>
      <c r="B44" s="51" t="str">
        <f>IF(LEN(C73)=0,"",C73)</f>
        <v/>
      </c>
      <c r="C44" s="226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</row>
    <row r="45" spans="1:1625" ht="20.100000000000001" customHeight="1" x14ac:dyDescent="0.25">
      <c r="A45" s="78" t="s">
        <v>50</v>
      </c>
      <c r="B45" s="51" t="str">
        <f>IF(LEN(C75)=0,"",C75)</f>
        <v/>
      </c>
      <c r="C45" s="225" t="s">
        <v>76</v>
      </c>
      <c r="D45" s="119" t="str">
        <f t="shared" si="0"/>
        <v>9h 40 min</v>
      </c>
      <c r="E45" s="34">
        <v>116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72"/>
      <c r="AII45" s="172"/>
      <c r="AIJ45" s="172"/>
      <c r="AIK45" s="172"/>
      <c r="AIL45" s="172"/>
      <c r="AIM45" s="177"/>
      <c r="AIN45" s="172"/>
      <c r="AIO45" s="172"/>
      <c r="AIP45" s="172"/>
      <c r="AIQ45" s="172"/>
      <c r="AIR45" s="172"/>
      <c r="AIS45" s="175"/>
      <c r="AIT45" s="172"/>
      <c r="AIU45" s="172"/>
      <c r="AIV45" s="172"/>
      <c r="AIW45" s="172"/>
      <c r="AIX45" s="172"/>
      <c r="AIY45" s="177"/>
      <c r="AIZ45" s="172"/>
      <c r="AJA45" s="172"/>
      <c r="AJB45" s="172"/>
      <c r="AJC45" s="172"/>
      <c r="AJD45" s="172"/>
      <c r="AJE45" s="175"/>
      <c r="AJF45" s="172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72"/>
      <c r="AKK45" s="172"/>
      <c r="AKL45" s="172"/>
      <c r="AKM45" s="172"/>
      <c r="AKN45" s="172"/>
      <c r="AKO45" s="175"/>
      <c r="AKP45" s="172"/>
      <c r="AKQ45" s="172"/>
      <c r="AKR45" s="172"/>
      <c r="AKS45" s="172"/>
      <c r="AKT45" s="172"/>
      <c r="AKU45" s="177"/>
      <c r="AKV45" s="172"/>
      <c r="AKW45" s="172"/>
      <c r="AKX45" s="172"/>
      <c r="AKY45" s="172"/>
      <c r="AKZ45" s="172"/>
      <c r="ALA45" s="175"/>
      <c r="ALB45" s="172"/>
      <c r="ALC45" s="172"/>
      <c r="ALD45" s="172"/>
      <c r="ALE45" s="172"/>
      <c r="ALF45" s="172"/>
      <c r="ALG45" s="177"/>
      <c r="ALH45" s="172"/>
      <c r="ALI45" s="172"/>
      <c r="ALJ45" s="172"/>
      <c r="ALK45" s="172"/>
      <c r="ALL45" s="172"/>
      <c r="ALM45" s="175"/>
      <c r="ALN45" s="172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71"/>
      <c r="AMM45" s="172"/>
      <c r="AMN45" s="172"/>
      <c r="AMO45" s="172"/>
      <c r="AMP45" s="172"/>
      <c r="AMQ45" s="173"/>
      <c r="AMR45" s="172"/>
      <c r="AMS45" s="172"/>
      <c r="AMT45" s="172"/>
      <c r="AMU45" s="172"/>
      <c r="AMV45" s="172"/>
      <c r="AMW45" s="175"/>
      <c r="AMX45" s="172"/>
      <c r="AMY45" s="172"/>
      <c r="AMZ45" s="172"/>
      <c r="ANA45" s="172"/>
      <c r="ANB45" s="172"/>
      <c r="ANC45" s="177"/>
      <c r="AND45" s="172"/>
      <c r="ANE45" s="172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71"/>
      <c r="AOU45" s="172"/>
      <c r="AOV45" s="172"/>
      <c r="AOW45" s="172"/>
      <c r="AOX45" s="172"/>
      <c r="AOY45" s="173"/>
      <c r="AOZ45" s="172"/>
      <c r="APA45" s="172"/>
      <c r="APB45" s="172"/>
      <c r="APC45" s="172"/>
      <c r="APD45" s="172"/>
      <c r="APE45" s="175"/>
      <c r="APF45" s="172"/>
      <c r="APG45" s="172"/>
      <c r="APH45" s="172"/>
      <c r="API45" s="172"/>
      <c r="APJ45" s="172"/>
      <c r="APK45" s="177"/>
      <c r="APL45" s="172"/>
      <c r="APM45" s="172"/>
      <c r="APN45" s="172"/>
      <c r="APO45" s="172"/>
      <c r="APP45" s="172"/>
      <c r="APQ45" s="175"/>
      <c r="APR45" s="172"/>
      <c r="APS45" s="172"/>
      <c r="APT45" s="172"/>
      <c r="APU45" s="172"/>
      <c r="APV45" s="172"/>
      <c r="APW45" s="177"/>
      <c r="APX45" s="172"/>
      <c r="APY45" s="172"/>
      <c r="APZ45" s="172"/>
      <c r="AQA45" s="172"/>
      <c r="AQB45" s="172"/>
      <c r="AQC45" s="175"/>
      <c r="AQD45" s="172"/>
      <c r="AQE45" s="172"/>
      <c r="AQF45" s="172"/>
      <c r="AQG45" s="172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</row>
    <row r="46" spans="1:1625" ht="20.100000000000001" customHeight="1" x14ac:dyDescent="0.25">
      <c r="A46" s="78" t="s">
        <v>51</v>
      </c>
      <c r="B46" s="51" t="str">
        <f>IF(LEN(C77)=0,"",C77)</f>
        <v/>
      </c>
      <c r="C46" s="231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</row>
    <row r="47" spans="1:1625" ht="20.100000000000001" customHeight="1" x14ac:dyDescent="0.25">
      <c r="A47" s="78" t="s">
        <v>50</v>
      </c>
      <c r="B47" s="51" t="str">
        <f>IF(LEN(C79)=0,"",C79)</f>
        <v/>
      </c>
      <c r="C47" s="225" t="s">
        <v>70</v>
      </c>
      <c r="D47" s="119" t="str">
        <f t="shared" si="0"/>
        <v>4h 5 min</v>
      </c>
      <c r="E47" s="34">
        <v>49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75"/>
      <c r="R47" s="172"/>
      <c r="S47" s="172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75"/>
      <c r="PV47" s="172"/>
      <c r="PW47" s="172"/>
      <c r="PX47" s="172"/>
      <c r="PY47" s="172"/>
      <c r="PZ47" s="172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72"/>
      <c r="ZF47" s="172"/>
      <c r="ZG47" s="177"/>
      <c r="ZH47" s="172"/>
      <c r="ZI47" s="172"/>
      <c r="ZJ47" s="172"/>
      <c r="ZK47" s="172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72"/>
      <c r="AFU47" s="172"/>
      <c r="AFV47" s="172"/>
      <c r="AFW47" s="172"/>
      <c r="AFX47" s="172"/>
      <c r="AFY47" s="175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71"/>
      <c r="AKE47" s="172"/>
      <c r="AKF47" s="172"/>
      <c r="AKG47" s="172"/>
      <c r="AKH47" s="172"/>
      <c r="AKI47" s="173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72"/>
      <c r="BFU47" s="175"/>
      <c r="BFV47" s="172"/>
      <c r="BFW47" s="172"/>
      <c r="BFX47" s="172"/>
      <c r="BFY47" s="172"/>
      <c r="BFZ47" s="172"/>
      <c r="BGA47" s="177"/>
      <c r="BGB47" s="172"/>
      <c r="BGC47" s="172"/>
      <c r="BGD47" s="172"/>
      <c r="BGE47" s="172"/>
      <c r="BGF47" s="172"/>
      <c r="BGG47" s="175"/>
      <c r="BGH47" s="172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75"/>
      <c r="BID47" s="172"/>
      <c r="BIE47" s="172"/>
      <c r="BIF47" s="172"/>
      <c r="BIG47" s="172"/>
      <c r="BIH47" s="172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</row>
    <row r="48" spans="1:1625" ht="20.100000000000001" customHeight="1" x14ac:dyDescent="0.3">
      <c r="A48" s="78" t="s">
        <v>51</v>
      </c>
      <c r="B48" s="51" t="str">
        <f>IF(LEN(C81)=0,"",C81)</f>
        <v/>
      </c>
      <c r="C48" s="226"/>
      <c r="D48" s="121" t="str">
        <f t="shared" si="0"/>
        <v>1h</v>
      </c>
      <c r="E48" s="22">
        <v>12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98"/>
      <c r="R48" s="199"/>
      <c r="S48" s="199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203"/>
      <c r="GE48" s="199"/>
      <c r="GF48" s="199"/>
      <c r="GG48" s="199"/>
      <c r="GH48" s="199"/>
      <c r="GI48" s="204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99"/>
      <c r="OK48" s="198"/>
      <c r="OL48" s="199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</row>
    <row r="49" spans="1:1625" ht="20.100000000000001" customHeight="1" x14ac:dyDescent="0.25">
      <c r="A49" s="78" t="s">
        <v>50</v>
      </c>
      <c r="B49" s="51" t="str">
        <f>IF(LEN(C83)=0,"",C83)</f>
        <v/>
      </c>
      <c r="C49" s="225" t="s">
        <v>69</v>
      </c>
      <c r="D49" s="119" t="str">
        <f t="shared" si="0"/>
        <v xml:space="preserve"> 30 min</v>
      </c>
      <c r="E49" s="26">
        <v>6</v>
      </c>
      <c r="F49" s="176"/>
      <c r="G49" s="174"/>
      <c r="H49" s="174"/>
      <c r="I49" s="174"/>
      <c r="J49" s="174"/>
      <c r="K49" s="178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</row>
    <row r="50" spans="1:1625" ht="20.100000000000001" customHeight="1" x14ac:dyDescent="0.3">
      <c r="A50" s="78" t="s">
        <v>51</v>
      </c>
      <c r="B50" s="51" t="str">
        <f>IF(LEN(C85)=0,"",C85)</f>
        <v/>
      </c>
      <c r="C50" s="226"/>
      <c r="D50" s="121" t="str">
        <f t="shared" si="0"/>
        <v xml:space="preserve"> 30 min</v>
      </c>
      <c r="E50" s="30">
        <v>6</v>
      </c>
      <c r="F50" s="193"/>
      <c r="G50" s="194"/>
      <c r="H50" s="194"/>
      <c r="I50" s="194"/>
      <c r="J50" s="194"/>
      <c r="K50" s="195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</row>
    <row r="51" spans="1:1625" ht="20.100000000000001" customHeight="1" x14ac:dyDescent="0.25">
      <c r="A51" s="78" t="s">
        <v>50</v>
      </c>
      <c r="B51" s="51" t="str">
        <f>IF(LEN(C87)=0,"",C87)</f>
        <v/>
      </c>
      <c r="C51" s="225" t="s">
        <v>68</v>
      </c>
      <c r="D51" s="119" t="str">
        <f t="shared" si="0"/>
        <v xml:space="preserve"> 30 min</v>
      </c>
      <c r="E51" s="34">
        <v>6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71"/>
      <c r="AFO51" s="172"/>
      <c r="AFP51" s="172"/>
      <c r="AFQ51" s="172"/>
      <c r="AFR51" s="172"/>
      <c r="AFS51" s="173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</row>
    <row r="52" spans="1:1625" ht="20.100000000000001" customHeight="1" x14ac:dyDescent="0.25">
      <c r="A52" s="78" t="s">
        <v>51</v>
      </c>
      <c r="B52" s="51" t="str">
        <f>IF(LEN(C89)=0,"",C89)</f>
        <v/>
      </c>
      <c r="C52" s="226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</row>
    <row r="53" spans="1:1625" ht="20.100000000000001" customHeight="1" x14ac:dyDescent="0.25">
      <c r="A53" s="78" t="s">
        <v>50</v>
      </c>
      <c r="B53" s="51" t="str">
        <f>IF(LEN(C91)=0,"",C91)</f>
        <v/>
      </c>
      <c r="C53" s="225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</row>
    <row r="54" spans="1:1625" ht="20.100000000000001" customHeight="1" x14ac:dyDescent="0.3">
      <c r="A54" s="78" t="s">
        <v>51</v>
      </c>
      <c r="B54" s="51" t="str">
        <f>IF(LEN(C93)=0,"",C93)</f>
        <v/>
      </c>
      <c r="C54" s="226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</row>
    <row r="55" spans="1:1625" ht="20.100000000000001" customHeight="1" x14ac:dyDescent="0.25">
      <c r="A55" s="78" t="s">
        <v>50</v>
      </c>
      <c r="B55" s="51"/>
      <c r="C55" s="225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</row>
    <row r="56" spans="1:1625" ht="20.100000000000001" customHeight="1" x14ac:dyDescent="0.25">
      <c r="A56" s="78" t="s">
        <v>51</v>
      </c>
      <c r="B56" s="51"/>
      <c r="C56" s="226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</row>
    <row r="57" spans="1:1625" ht="20.100000000000001" customHeight="1" x14ac:dyDescent="0.25">
      <c r="A57" s="78" t="s">
        <v>50</v>
      </c>
      <c r="B57" s="51"/>
      <c r="C57" s="225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</row>
    <row r="58" spans="1:1625" ht="20.100000000000001" customHeight="1" x14ac:dyDescent="0.3">
      <c r="A58" s="78" t="s">
        <v>51</v>
      </c>
      <c r="B58" s="51"/>
      <c r="C58" s="231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</row>
    <row r="59" spans="1:1625" ht="20.100000000000001" customHeight="1" x14ac:dyDescent="0.25">
      <c r="A59" s="78" t="s">
        <v>50</v>
      </c>
      <c r="B59" s="51"/>
      <c r="C59" s="225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</row>
    <row r="60" spans="1:1625" ht="20.100000000000001" customHeight="1" x14ac:dyDescent="0.3">
      <c r="A60" s="78" t="s">
        <v>51</v>
      </c>
      <c r="B60" s="51"/>
      <c r="C60" s="226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</row>
    <row r="61" spans="1:1625" ht="20.100000000000001" customHeight="1" x14ac:dyDescent="0.25">
      <c r="A61" s="78" t="s">
        <v>50</v>
      </c>
      <c r="B61" s="51"/>
      <c r="C61" s="225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</row>
    <row r="62" spans="1:1625" ht="20.100000000000001" customHeight="1" x14ac:dyDescent="0.25">
      <c r="A62" s="78" t="s">
        <v>51</v>
      </c>
      <c r="B62" s="51"/>
      <c r="C62" s="231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</row>
    <row r="63" spans="1:1625" ht="20.100000000000001" customHeight="1" x14ac:dyDescent="0.25">
      <c r="A63" s="78" t="s">
        <v>50</v>
      </c>
      <c r="B63" s="51"/>
      <c r="C63" s="225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</row>
    <row r="64" spans="1:1625" ht="20.100000000000001" customHeight="1" x14ac:dyDescent="0.3">
      <c r="A64" s="78" t="s">
        <v>51</v>
      </c>
      <c r="B64" s="51"/>
      <c r="C64" s="226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</row>
    <row r="65" spans="1:1625" ht="20.100000000000001" customHeight="1" x14ac:dyDescent="0.25">
      <c r="A65" s="78" t="s">
        <v>50</v>
      </c>
      <c r="B65" s="51"/>
      <c r="C65" s="225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</row>
    <row r="66" spans="1:1625" ht="20.100000000000001" customHeight="1" x14ac:dyDescent="0.3">
      <c r="A66" s="78" t="s">
        <v>51</v>
      </c>
      <c r="B66" s="51"/>
      <c r="C66" s="226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</row>
    <row r="67" spans="1:1625" ht="20.100000000000001" customHeight="1" x14ac:dyDescent="0.25">
      <c r="A67" s="78" t="s">
        <v>50</v>
      </c>
      <c r="B67" s="51"/>
      <c r="C67" s="225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</row>
    <row r="68" spans="1:1625" ht="20.100000000000001" customHeight="1" x14ac:dyDescent="0.25">
      <c r="A68" s="78" t="s">
        <v>51</v>
      </c>
      <c r="B68" s="51"/>
      <c r="C68" s="231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</row>
    <row r="69" spans="1:1625" ht="20.100000000000001" customHeight="1" x14ac:dyDescent="0.25">
      <c r="A69" s="78" t="s">
        <v>50</v>
      </c>
      <c r="B69" s="51"/>
      <c r="C69" s="225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</row>
    <row r="70" spans="1:1625" ht="20.100000000000001" customHeight="1" x14ac:dyDescent="0.3">
      <c r="A70" s="78" t="s">
        <v>51</v>
      </c>
      <c r="B70" s="51"/>
      <c r="C70" s="226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</row>
    <row r="71" spans="1:1625" ht="20.100000000000001" customHeight="1" x14ac:dyDescent="0.25">
      <c r="A71" s="78" t="s">
        <v>50</v>
      </c>
      <c r="B71" s="51"/>
      <c r="C71" s="225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</row>
    <row r="72" spans="1:1625" ht="20.100000000000001" customHeight="1" x14ac:dyDescent="0.25">
      <c r="A72" s="78" t="s">
        <v>51</v>
      </c>
      <c r="B72" s="51"/>
      <c r="C72" s="231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</row>
    <row r="73" spans="1:1625" ht="20.100000000000001" customHeight="1" x14ac:dyDescent="0.25">
      <c r="A73" s="78" t="s">
        <v>50</v>
      </c>
      <c r="B73" s="51"/>
      <c r="C73" s="225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</row>
    <row r="74" spans="1:1625" ht="20.100000000000001" customHeight="1" x14ac:dyDescent="0.3">
      <c r="A74" s="78" t="s">
        <v>51</v>
      </c>
      <c r="B74" s="51"/>
      <c r="C74" s="226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</row>
    <row r="75" spans="1:1625" ht="20.100000000000001" customHeight="1" x14ac:dyDescent="0.25">
      <c r="A75" s="78" t="s">
        <v>50</v>
      </c>
      <c r="B75" s="51"/>
      <c r="C75" s="225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</row>
    <row r="76" spans="1:1625" ht="20.100000000000001" customHeight="1" x14ac:dyDescent="0.3">
      <c r="A76" s="78" t="s">
        <v>51</v>
      </c>
      <c r="B76" s="51"/>
      <c r="C76" s="226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</row>
    <row r="77" spans="1:1625" ht="20.100000000000001" customHeight="1" x14ac:dyDescent="0.25">
      <c r="A77" s="78" t="s">
        <v>50</v>
      </c>
      <c r="B77" s="51"/>
      <c r="C77" s="225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</row>
    <row r="78" spans="1:1625" ht="20.100000000000001" customHeight="1" x14ac:dyDescent="0.25">
      <c r="A78" s="78" t="s">
        <v>51</v>
      </c>
      <c r="B78" s="51"/>
      <c r="C78" s="231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</row>
    <row r="79" spans="1:1625" ht="20.100000000000001" customHeight="1" x14ac:dyDescent="0.25">
      <c r="A79" s="78" t="s">
        <v>50</v>
      </c>
      <c r="B79" s="51"/>
      <c r="C79" s="225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</row>
    <row r="80" spans="1:1625" ht="20.100000000000001" customHeight="1" x14ac:dyDescent="0.3">
      <c r="A80" s="78" t="s">
        <v>51</v>
      </c>
      <c r="B80" s="51"/>
      <c r="C80" s="226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</row>
    <row r="81" spans="1:1625" ht="20.100000000000001" customHeight="1" x14ac:dyDescent="0.25">
      <c r="A81" s="78" t="s">
        <v>50</v>
      </c>
      <c r="B81" s="51"/>
      <c r="C81" s="225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</row>
    <row r="82" spans="1:1625" ht="20.100000000000001" customHeight="1" x14ac:dyDescent="0.3">
      <c r="A82" s="78" t="s">
        <v>51</v>
      </c>
      <c r="B82" s="51"/>
      <c r="C82" s="226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</row>
    <row r="83" spans="1:1625" ht="20.100000000000001" customHeight="1" x14ac:dyDescent="0.25">
      <c r="A83" s="78" t="s">
        <v>50</v>
      </c>
      <c r="B83" s="51"/>
      <c r="C83" s="225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</row>
    <row r="84" spans="1:1625" ht="20.100000000000001" customHeight="1" x14ac:dyDescent="0.25">
      <c r="A84" s="78" t="s">
        <v>51</v>
      </c>
      <c r="B84" s="51"/>
      <c r="C84" s="231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</row>
    <row r="85" spans="1:1625" ht="20.100000000000001" customHeight="1" x14ac:dyDescent="0.25">
      <c r="A85" s="78" t="s">
        <v>50</v>
      </c>
      <c r="B85" s="51"/>
      <c r="C85" s="225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</row>
    <row r="86" spans="1:1625" ht="20.100000000000001" customHeight="1" x14ac:dyDescent="0.3">
      <c r="A86" s="78" t="s">
        <v>51</v>
      </c>
      <c r="B86" s="51"/>
      <c r="C86" s="226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</row>
    <row r="87" spans="1:1625" ht="20.100000000000001" customHeight="1" x14ac:dyDescent="0.25">
      <c r="A87" s="78" t="s">
        <v>50</v>
      </c>
      <c r="B87" s="51"/>
      <c r="C87" s="225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</row>
    <row r="88" spans="1:1625" ht="20.100000000000001" customHeight="1" x14ac:dyDescent="0.25">
      <c r="A88" s="78" t="s">
        <v>51</v>
      </c>
      <c r="B88" s="51"/>
      <c r="C88" s="231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</row>
    <row r="89" spans="1:1625" ht="20.100000000000001" customHeight="1" x14ac:dyDescent="0.25">
      <c r="A89" s="78" t="s">
        <v>50</v>
      </c>
      <c r="B89" s="51"/>
      <c r="C89" s="225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</row>
    <row r="90" spans="1:1625" ht="20.100000000000001" customHeight="1" x14ac:dyDescent="0.3">
      <c r="A90" s="78" t="s">
        <v>51</v>
      </c>
      <c r="B90" s="51"/>
      <c r="C90" s="226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</row>
    <row r="91" spans="1:1625" ht="20.100000000000001" customHeight="1" x14ac:dyDescent="0.25">
      <c r="A91" s="78" t="s">
        <v>50</v>
      </c>
      <c r="B91" s="51"/>
      <c r="C91" s="225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</row>
    <row r="92" spans="1:1625" ht="20.100000000000001" customHeight="1" x14ac:dyDescent="0.3">
      <c r="A92" s="78" t="s">
        <v>51</v>
      </c>
      <c r="B92" s="51"/>
      <c r="C92" s="226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</row>
    <row r="93" spans="1:1625" ht="20.100000000000001" customHeight="1" x14ac:dyDescent="0.25">
      <c r="A93" s="78" t="s">
        <v>50</v>
      </c>
      <c r="B93" s="51"/>
      <c r="C93" s="225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</row>
    <row r="94" spans="1:1625" ht="20.100000000000001" customHeight="1" x14ac:dyDescent="0.25">
      <c r="A94" s="78" t="s">
        <v>51</v>
      </c>
      <c r="B94" s="51"/>
      <c r="C94" s="231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</row>
    <row r="95" spans="1:1625" ht="20.100000000000001" customHeight="1" x14ac:dyDescent="0.25">
      <c r="B95" s="51"/>
      <c r="C95" s="227" t="s">
        <v>55</v>
      </c>
      <c r="D95" s="228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</row>
    <row r="96" spans="1:1625" ht="20.100000000000001" customHeight="1" thickBot="1" x14ac:dyDescent="0.3">
      <c r="B96" s="51"/>
      <c r="C96" s="229"/>
      <c r="D96" s="230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</row>
    <row r="97" spans="2:1625" ht="20.100000000000001" customHeight="1" x14ac:dyDescent="0.25">
      <c r="B97" s="51"/>
      <c r="C97" s="219" t="s">
        <v>56</v>
      </c>
      <c r="D97" s="220"/>
      <c r="E97" s="93">
        <f>SUM(E16,E18,E20,E22,E24,E26,E28,E30,E32,E34,E36,E38,E40,E42,E44,E46,E48,E50,E52,E54,E56,E58,E60,E62,E64,E66,E68,E70,E72,E74,E76,E78,E80,E82,E84,E86,E88,E90,E92,E94)</f>
        <v>304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</row>
    <row r="98" spans="2:1625" ht="20.100000000000001" customHeight="1" thickBot="1" x14ac:dyDescent="0.3">
      <c r="B98" s="51"/>
      <c r="C98" s="221"/>
      <c r="D98" s="222"/>
      <c r="E98" s="97" t="str">
        <f xml:space="preserve"> setValueToTime(E97)</f>
        <v>25h 20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</row>
    <row r="99" spans="2:1625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="115" zoomScaleNormal="115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45810</v>
      </c>
      <c r="G2" s="101" t="s">
        <v>78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2" t="s">
        <v>62</v>
      </c>
      <c r="G3" s="253"/>
      <c r="H3" s="151"/>
    </row>
    <row r="4" spans="1:8" s="43" customFormat="1" x14ac:dyDescent="0.3">
      <c r="B4" s="40" t="s">
        <v>54</v>
      </c>
      <c r="C4" s="41">
        <v>23</v>
      </c>
      <c r="D4" s="125" t="str">
        <f xml:space="preserve"> IF(C4="","",setValueToTime(C4))</f>
        <v>1h 55 min</v>
      </c>
      <c r="E4" s="42" t="s">
        <v>142</v>
      </c>
      <c r="F4" s="254"/>
      <c r="G4" s="255"/>
      <c r="H4" s="152"/>
    </row>
    <row r="5" spans="1:8" s="43" customFormat="1" x14ac:dyDescent="0.3">
      <c r="B5" s="44" t="s">
        <v>70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125</v>
      </c>
      <c r="F5" s="246"/>
      <c r="G5" s="247"/>
      <c r="H5" s="152"/>
    </row>
    <row r="6" spans="1:8" s="43" customFormat="1" x14ac:dyDescent="0.3">
      <c r="B6" s="44" t="s">
        <v>53</v>
      </c>
      <c r="C6" s="45">
        <v>8</v>
      </c>
      <c r="D6" s="126" t="str">
        <f t="shared" si="0"/>
        <v xml:space="preserve"> 40 min</v>
      </c>
      <c r="E6" s="46" t="s">
        <v>143</v>
      </c>
      <c r="F6" s="246"/>
      <c r="G6" s="24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46"/>
      <c r="G7" s="24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46"/>
      <c r="G8" s="24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46"/>
      <c r="G9" s="24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6"/>
      <c r="G10" s="247"/>
      <c r="H10" s="152"/>
    </row>
    <row r="11" spans="1:8" s="43" customFormat="1" ht="15" thickBot="1" x14ac:dyDescent="0.35">
      <c r="B11" s="44" t="s">
        <v>53</v>
      </c>
      <c r="C11" s="45">
        <v>1</v>
      </c>
      <c r="D11" s="128" t="str">
        <f t="shared" si="0"/>
        <v xml:space="preserve"> 5 min</v>
      </c>
      <c r="E11" s="48" t="s">
        <v>86</v>
      </c>
      <c r="F11" s="248"/>
      <c r="G11" s="249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0"/>
      <c r="G12" s="251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45805</v>
      </c>
      <c r="G14" s="101" t="s">
        <v>79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2" t="s">
        <v>62</v>
      </c>
      <c r="G15" s="253"/>
      <c r="H15" s="151"/>
    </row>
    <row r="16" spans="1:8" s="43" customFormat="1" x14ac:dyDescent="0.3">
      <c r="B16" s="40" t="s">
        <v>54</v>
      </c>
      <c r="C16" s="41">
        <v>22</v>
      </c>
      <c r="D16" s="125" t="str">
        <f xml:space="preserve"> IF(C16="","",setValueToTime(C16))</f>
        <v>1h 50 min</v>
      </c>
      <c r="E16" s="42" t="s">
        <v>141</v>
      </c>
      <c r="F16" s="254"/>
      <c r="G16" s="255"/>
      <c r="H16" s="152"/>
    </row>
    <row r="17" spans="2:8" s="43" customFormat="1" x14ac:dyDescent="0.3">
      <c r="B17" s="44" t="s">
        <v>70</v>
      </c>
      <c r="C17" s="45">
        <v>15</v>
      </c>
      <c r="D17" s="126" t="str">
        <f t="shared" ref="D17:D23" si="1" xml:space="preserve"> IF(C17="","",setValueToTime(C17))</f>
        <v>1h 15 min</v>
      </c>
      <c r="E17" s="46" t="s">
        <v>125</v>
      </c>
      <c r="F17" s="246"/>
      <c r="G17" s="247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46"/>
      <c r="G18" s="247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6"/>
      <c r="G19" s="247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6"/>
      <c r="G20" s="247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6"/>
      <c r="G21" s="247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6"/>
      <c r="G22" s="247"/>
      <c r="H22" s="152"/>
    </row>
    <row r="23" spans="2:8" s="43" customFormat="1" ht="15" thickBot="1" x14ac:dyDescent="0.35">
      <c r="B23" s="44" t="s">
        <v>53</v>
      </c>
      <c r="C23" s="45">
        <v>1</v>
      </c>
      <c r="D23" s="128" t="str">
        <f t="shared" si="1"/>
        <v xml:space="preserve"> 5 min</v>
      </c>
      <c r="E23" s="202" t="s">
        <v>86</v>
      </c>
      <c r="F23" s="248"/>
      <c r="G23" s="249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0"/>
      <c r="G24" s="251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45805</v>
      </c>
      <c r="G26" s="101" t="s">
        <v>78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2" t="s">
        <v>62</v>
      </c>
      <c r="G27" s="253"/>
      <c r="H27" s="151"/>
    </row>
    <row r="28" spans="2:8" s="43" customFormat="1" x14ac:dyDescent="0.3">
      <c r="B28" s="40" t="s">
        <v>54</v>
      </c>
      <c r="C28" s="41">
        <v>30</v>
      </c>
      <c r="D28" s="125" t="str">
        <f xml:space="preserve"> IF(C28="","",setValueToTime(C28))</f>
        <v>2h 30 min</v>
      </c>
      <c r="E28" s="42" t="s">
        <v>140</v>
      </c>
      <c r="F28" s="254"/>
      <c r="G28" s="255"/>
      <c r="H28" s="152"/>
    </row>
    <row r="29" spans="2:8" s="43" customFormat="1" x14ac:dyDescent="0.3">
      <c r="B29" s="44" t="s">
        <v>54</v>
      </c>
      <c r="C29" s="45">
        <v>17</v>
      </c>
      <c r="D29" s="126" t="str">
        <f t="shared" ref="D29:D35" si="2" xml:space="preserve"> IF(C29="","",setValueToTime(C29))</f>
        <v>1h 25 min</v>
      </c>
      <c r="E29" s="201" t="s">
        <v>157</v>
      </c>
      <c r="F29" s="246"/>
      <c r="G29" s="247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46"/>
      <c r="G30" s="247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6"/>
      <c r="G31" s="247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6"/>
      <c r="G32" s="247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6"/>
      <c r="G33" s="247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6"/>
      <c r="G34" s="247"/>
      <c r="H34" s="152"/>
    </row>
    <row r="35" spans="2:8" s="43" customFormat="1" ht="15" thickBot="1" x14ac:dyDescent="0.35">
      <c r="B35" s="44" t="s">
        <v>53</v>
      </c>
      <c r="C35" s="45">
        <v>1</v>
      </c>
      <c r="D35" s="128" t="str">
        <f t="shared" si="2"/>
        <v xml:space="preserve"> 5 min</v>
      </c>
      <c r="E35" s="48" t="s">
        <v>86</v>
      </c>
      <c r="F35" s="248"/>
      <c r="G35" s="249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0"/>
      <c r="G36" s="251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45803</v>
      </c>
      <c r="G38" s="101" t="s">
        <v>78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2" t="s">
        <v>62</v>
      </c>
      <c r="G39" s="253"/>
      <c r="H39" s="151"/>
    </row>
    <row r="40" spans="2:8" s="43" customFormat="1" x14ac:dyDescent="0.3">
      <c r="B40" s="40" t="s">
        <v>54</v>
      </c>
      <c r="C40" s="41">
        <v>37</v>
      </c>
      <c r="D40" s="125" t="str">
        <f xml:space="preserve"> IF(C40="","",setValueToTime(C40))</f>
        <v>3h 5 min</v>
      </c>
      <c r="E40" s="200" t="s">
        <v>156</v>
      </c>
      <c r="F40" s="254"/>
      <c r="G40" s="255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46"/>
      <c r="G41" s="247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46"/>
      <c r="G42" s="247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46"/>
      <c r="G43" s="247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6"/>
      <c r="G44" s="247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6"/>
      <c r="G45" s="247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6"/>
      <c r="G46" s="247"/>
      <c r="H46" s="152"/>
    </row>
    <row r="47" spans="2:8" s="43" customFormat="1" ht="15" thickBot="1" x14ac:dyDescent="0.35">
      <c r="B47" s="44" t="s">
        <v>53</v>
      </c>
      <c r="C47" s="45">
        <v>1</v>
      </c>
      <c r="D47" s="128" t="str">
        <f t="shared" si="3"/>
        <v xml:space="preserve"> 5 min</v>
      </c>
      <c r="E47" s="48" t="s">
        <v>86</v>
      </c>
      <c r="F47" s="248"/>
      <c r="G47" s="249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0"/>
      <c r="G48" s="251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45800</v>
      </c>
      <c r="G50" s="101" t="s">
        <v>79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2" t="s">
        <v>62</v>
      </c>
      <c r="G51" s="253"/>
      <c r="H51" s="151"/>
    </row>
    <row r="52" spans="2:8" s="43" customFormat="1" ht="27" x14ac:dyDescent="0.3">
      <c r="B52" s="40" t="s">
        <v>82</v>
      </c>
      <c r="C52" s="41">
        <v>10</v>
      </c>
      <c r="D52" s="125" t="str">
        <f xml:space="preserve"> IF(C52="","",setValueToTime(C52))</f>
        <v xml:space="preserve"> 50 min</v>
      </c>
      <c r="E52" s="42" t="s">
        <v>149</v>
      </c>
      <c r="F52" s="254"/>
      <c r="G52" s="255"/>
      <c r="H52" s="152"/>
    </row>
    <row r="53" spans="2:8" s="43" customFormat="1" x14ac:dyDescent="0.3">
      <c r="B53" s="44" t="s">
        <v>54</v>
      </c>
      <c r="C53" s="45">
        <v>27</v>
      </c>
      <c r="D53" s="126" t="str">
        <f t="shared" ref="D53:D59" si="4" xml:space="preserve"> IF(C53="","",setValueToTime(C53))</f>
        <v>2h 15 min</v>
      </c>
      <c r="E53" s="201" t="s">
        <v>156</v>
      </c>
      <c r="F53" s="246"/>
      <c r="G53" s="247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46"/>
      <c r="G54" s="247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46"/>
      <c r="G55" s="247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6"/>
      <c r="G56" s="247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6"/>
      <c r="G57" s="247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6"/>
      <c r="G58" s="247"/>
      <c r="H58" s="152"/>
    </row>
    <row r="59" spans="2:8" s="43" customFormat="1" ht="15" thickBot="1" x14ac:dyDescent="0.35">
      <c r="B59" s="44" t="s">
        <v>53</v>
      </c>
      <c r="C59" s="45">
        <v>1</v>
      </c>
      <c r="D59" s="128" t="str">
        <f t="shared" si="4"/>
        <v xml:space="preserve"> 5 min</v>
      </c>
      <c r="E59" s="48" t="s">
        <v>86</v>
      </c>
      <c r="F59" s="248"/>
      <c r="G59" s="249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0"/>
      <c r="G60" s="251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45800</v>
      </c>
      <c r="G62" s="101" t="s">
        <v>78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2" t="s">
        <v>62</v>
      </c>
      <c r="G63" s="253"/>
      <c r="H63" s="151"/>
    </row>
    <row r="64" spans="2:8" s="43" customFormat="1" x14ac:dyDescent="0.3">
      <c r="B64" s="40" t="s">
        <v>103</v>
      </c>
      <c r="C64" s="41">
        <v>40</v>
      </c>
      <c r="D64" s="125" t="str">
        <f xml:space="preserve"> IF(C64="","",setValueToTime(C64))</f>
        <v>3h 20 min</v>
      </c>
      <c r="E64" s="42" t="s">
        <v>139</v>
      </c>
      <c r="F64" s="254"/>
      <c r="G64" s="255"/>
      <c r="H64" s="152"/>
    </row>
    <row r="65" spans="2:8" s="43" customFormat="1" x14ac:dyDescent="0.3">
      <c r="B65" s="44" t="s">
        <v>54</v>
      </c>
      <c r="C65" s="45">
        <v>7</v>
      </c>
      <c r="D65" s="126" t="str">
        <f t="shared" ref="D65:D71" si="5" xml:space="preserve"> IF(C65="","",setValueToTime(C65))</f>
        <v xml:space="preserve"> 35 min</v>
      </c>
      <c r="E65" s="46" t="s">
        <v>136</v>
      </c>
      <c r="F65" s="246"/>
      <c r="G65" s="247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46"/>
      <c r="G66" s="247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46"/>
      <c r="G67" s="247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46"/>
      <c r="G68" s="247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46"/>
      <c r="G69" s="247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6"/>
      <c r="G70" s="247"/>
      <c r="H70" s="152"/>
    </row>
    <row r="71" spans="2:8" s="43" customFormat="1" ht="15" thickBot="1" x14ac:dyDescent="0.35">
      <c r="B71" s="44" t="s">
        <v>53</v>
      </c>
      <c r="C71" s="45">
        <v>1</v>
      </c>
      <c r="D71" s="128" t="str">
        <f t="shared" si="5"/>
        <v xml:space="preserve"> 5 min</v>
      </c>
      <c r="E71" s="48" t="s">
        <v>86</v>
      </c>
      <c r="F71" s="248"/>
      <c r="G71" s="249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0"/>
      <c r="G72" s="251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45799</v>
      </c>
      <c r="G74" s="101" t="s">
        <v>79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2" t="s">
        <v>62</v>
      </c>
      <c r="G75" s="253"/>
      <c r="H75" s="151"/>
    </row>
    <row r="76" spans="2:8" s="43" customFormat="1" x14ac:dyDescent="0.3">
      <c r="B76" s="44" t="s">
        <v>103</v>
      </c>
      <c r="C76" s="41">
        <v>12</v>
      </c>
      <c r="D76" s="125" t="str">
        <f xml:space="preserve"> IF(C76="","",setValueToTime(C76))</f>
        <v>1h</v>
      </c>
      <c r="E76" s="42" t="s">
        <v>138</v>
      </c>
      <c r="F76" s="254"/>
      <c r="G76" s="255"/>
      <c r="H76" s="152"/>
    </row>
    <row r="77" spans="2:8" s="43" customFormat="1" x14ac:dyDescent="0.3">
      <c r="B77" s="44" t="s">
        <v>54</v>
      </c>
      <c r="C77" s="45">
        <v>25</v>
      </c>
      <c r="D77" s="126" t="str">
        <f xml:space="preserve"> IF(C77="","",setValueToTime(C77))</f>
        <v>2h 5 min</v>
      </c>
      <c r="E77" s="201" t="s">
        <v>155</v>
      </c>
      <c r="F77" s="246"/>
      <c r="G77" s="247"/>
      <c r="H77" s="152"/>
    </row>
    <row r="78" spans="2:8" s="43" customFormat="1" x14ac:dyDescent="0.3">
      <c r="B78" s="44"/>
      <c r="C78" s="45"/>
      <c r="D78" s="126" t="str">
        <f t="shared" ref="D78:D83" si="6" xml:space="preserve"> IF(C78="","",setValueToTime(C78))</f>
        <v/>
      </c>
      <c r="E78" s="46"/>
      <c r="F78" s="246"/>
      <c r="G78" s="247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46"/>
      <c r="G79" s="247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6"/>
      <c r="G80" s="247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6"/>
      <c r="G81" s="247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6"/>
      <c r="G82" s="247"/>
      <c r="H82" s="152"/>
    </row>
    <row r="83" spans="2:8" s="43" customFormat="1" ht="15" thickBot="1" x14ac:dyDescent="0.35">
      <c r="B83" s="44" t="s">
        <v>53</v>
      </c>
      <c r="C83" s="45">
        <v>1</v>
      </c>
      <c r="D83" s="128" t="str">
        <f t="shared" si="6"/>
        <v xml:space="preserve"> 5 min</v>
      </c>
      <c r="E83" s="48" t="s">
        <v>86</v>
      </c>
      <c r="F83" s="248"/>
      <c r="G83" s="249"/>
      <c r="H83" s="152"/>
    </row>
    <row r="84" spans="2:8" s="43" customFormat="1" ht="15" thickBot="1" x14ac:dyDescent="0.35">
      <c r="B84" s="86" t="s">
        <v>64</v>
      </c>
      <c r="C84" s="67">
        <f>SUM(C76:C83)</f>
        <v>38</v>
      </c>
      <c r="D84" s="86" t="str">
        <f xml:space="preserve"> setValueToTime(C84)</f>
        <v>3h 10 min</v>
      </c>
      <c r="E84" s="95"/>
      <c r="F84" s="250"/>
      <c r="G84" s="251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45798</v>
      </c>
      <c r="G86" s="101" t="s">
        <v>79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2" t="s">
        <v>62</v>
      </c>
      <c r="G87" s="253"/>
      <c r="H87" s="151"/>
    </row>
    <row r="88" spans="2:8" s="43" customFormat="1" x14ac:dyDescent="0.3">
      <c r="B88" s="40" t="s">
        <v>103</v>
      </c>
      <c r="C88" s="41">
        <v>26</v>
      </c>
      <c r="D88" s="125" t="str">
        <f xml:space="preserve"> IF(C88="","",setValueToTime(C88))</f>
        <v>2h 10 min</v>
      </c>
      <c r="E88" s="42" t="s">
        <v>137</v>
      </c>
      <c r="F88" s="254"/>
      <c r="G88" s="255"/>
      <c r="H88" s="152"/>
    </row>
    <row r="89" spans="2:8" s="43" customFormat="1" x14ac:dyDescent="0.3">
      <c r="B89" s="44" t="s">
        <v>54</v>
      </c>
      <c r="C89" s="45">
        <v>11</v>
      </c>
      <c r="D89" s="126" t="str">
        <f t="shared" ref="D89:D95" si="7" xml:space="preserve"> IF(C89="","",setValueToTime(C89))</f>
        <v xml:space="preserve"> 55 min</v>
      </c>
      <c r="E89" s="201" t="s">
        <v>155</v>
      </c>
      <c r="F89" s="246"/>
      <c r="G89" s="247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46"/>
      <c r="G90" s="247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6"/>
      <c r="G91" s="247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6"/>
      <c r="G92" s="247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6"/>
      <c r="G93" s="247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6"/>
      <c r="G94" s="247"/>
      <c r="H94" s="152"/>
    </row>
    <row r="95" spans="2:8" s="43" customFormat="1" ht="15" thickBot="1" x14ac:dyDescent="0.35">
      <c r="B95" s="44" t="s">
        <v>53</v>
      </c>
      <c r="C95" s="45">
        <v>1</v>
      </c>
      <c r="D95" s="128" t="str">
        <f t="shared" si="7"/>
        <v xml:space="preserve"> 5 min</v>
      </c>
      <c r="E95" s="48" t="s">
        <v>86</v>
      </c>
      <c r="F95" s="248"/>
      <c r="G95" s="249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0"/>
      <c r="G96" s="251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45798</v>
      </c>
      <c r="G98" s="101" t="s">
        <v>78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2" t="s">
        <v>62</v>
      </c>
      <c r="G99" s="253"/>
      <c r="H99" s="151"/>
    </row>
    <row r="100" spans="2:8" s="43" customFormat="1" ht="27" x14ac:dyDescent="0.3">
      <c r="B100" s="40" t="s">
        <v>76</v>
      </c>
      <c r="C100" s="41">
        <v>40</v>
      </c>
      <c r="D100" s="125" t="str">
        <f xml:space="preserve"> IF(C100="","",setValueToTime(C100))</f>
        <v>3h 20 min</v>
      </c>
      <c r="E100" s="42" t="s">
        <v>135</v>
      </c>
      <c r="F100" s="254"/>
      <c r="G100" s="255"/>
      <c r="H100" s="152"/>
    </row>
    <row r="101" spans="2:8" s="43" customFormat="1" x14ac:dyDescent="0.3">
      <c r="B101" s="44" t="s">
        <v>54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201" t="s">
        <v>155</v>
      </c>
      <c r="F101" s="246"/>
      <c r="G101" s="247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46"/>
      <c r="G102" s="247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46"/>
      <c r="G103" s="247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6"/>
      <c r="G104" s="247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6"/>
      <c r="G105" s="247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6"/>
      <c r="G106" s="247"/>
      <c r="H106" s="152"/>
    </row>
    <row r="107" spans="2:8" s="43" customFormat="1" ht="15" thickBot="1" x14ac:dyDescent="0.35">
      <c r="B107" s="44" t="s">
        <v>53</v>
      </c>
      <c r="C107" s="45">
        <v>1</v>
      </c>
      <c r="D107" s="128" t="str">
        <f t="shared" si="8"/>
        <v xml:space="preserve"> 5 min</v>
      </c>
      <c r="E107" s="48" t="s">
        <v>86</v>
      </c>
      <c r="F107" s="248"/>
      <c r="G107" s="249"/>
      <c r="H107" s="152"/>
    </row>
    <row r="108" spans="2:8" s="43" customFormat="1" ht="15" thickBot="1" x14ac:dyDescent="0.35">
      <c r="B108" s="86" t="s">
        <v>64</v>
      </c>
      <c r="C108" s="67">
        <f>SUM(C100:C107)</f>
        <v>48</v>
      </c>
      <c r="D108" s="86" t="str">
        <f xml:space="preserve"> setValueToTime(C108)</f>
        <v>4h</v>
      </c>
      <c r="E108" s="95"/>
      <c r="F108" s="250"/>
      <c r="G108" s="251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45796</v>
      </c>
      <c r="G110" s="101" t="s">
        <v>79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2" t="s">
        <v>62</v>
      </c>
      <c r="G111" s="253"/>
      <c r="H111" s="151"/>
    </row>
    <row r="112" spans="2:8" s="43" customFormat="1" x14ac:dyDescent="0.3">
      <c r="B112" s="40" t="s">
        <v>76</v>
      </c>
      <c r="C112" s="41">
        <v>20</v>
      </c>
      <c r="D112" s="125" t="str">
        <f xml:space="preserve"> IF(C112="","",setValueToTime(C112))</f>
        <v>1h 40 min</v>
      </c>
      <c r="E112" s="42" t="s">
        <v>134</v>
      </c>
      <c r="F112" s="254"/>
      <c r="G112" s="255"/>
      <c r="H112" s="152"/>
    </row>
    <row r="113" spans="2:8" s="43" customFormat="1" x14ac:dyDescent="0.3">
      <c r="B113" s="44" t="s">
        <v>54</v>
      </c>
      <c r="C113" s="45">
        <v>8</v>
      </c>
      <c r="D113" s="126" t="str">
        <f t="shared" ref="D113:D119" si="9" xml:space="preserve"> IF(C113="","",setValueToTime(C113))</f>
        <v xml:space="preserve"> 40 min</v>
      </c>
      <c r="E113" s="201" t="s">
        <v>155</v>
      </c>
      <c r="F113" s="246"/>
      <c r="G113" s="247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46"/>
      <c r="G114" s="247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46"/>
      <c r="G115" s="247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46"/>
      <c r="G116" s="247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6"/>
      <c r="G117" s="247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6"/>
      <c r="G118" s="247"/>
      <c r="H118" s="152"/>
    </row>
    <row r="119" spans="2:8" s="43" customFormat="1" ht="15" thickBot="1" x14ac:dyDescent="0.35">
      <c r="B119" s="44" t="s">
        <v>53</v>
      </c>
      <c r="C119" s="45">
        <v>1</v>
      </c>
      <c r="D119" s="128" t="str">
        <f t="shared" si="9"/>
        <v xml:space="preserve"> 5 min</v>
      </c>
      <c r="E119" s="48" t="s">
        <v>86</v>
      </c>
      <c r="F119" s="248"/>
      <c r="G119" s="249"/>
      <c r="H119" s="152"/>
    </row>
    <row r="120" spans="2:8" s="43" customFormat="1" ht="15" thickBot="1" x14ac:dyDescent="0.35">
      <c r="B120" s="86" t="s">
        <v>64</v>
      </c>
      <c r="C120" s="67">
        <f>SUM(C112:C119)</f>
        <v>29</v>
      </c>
      <c r="D120" s="86" t="str">
        <f xml:space="preserve"> setValueToTime(C120)</f>
        <v>2h 25 min</v>
      </c>
      <c r="E120" s="95"/>
      <c r="F120" s="250"/>
      <c r="G120" s="251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45796</v>
      </c>
      <c r="G122" s="101" t="s">
        <v>78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2" t="s">
        <v>62</v>
      </c>
      <c r="G123" s="253"/>
      <c r="H123" s="151"/>
    </row>
    <row r="124" spans="2:8" s="43" customFormat="1" x14ac:dyDescent="0.3">
      <c r="B124" s="44" t="s">
        <v>70</v>
      </c>
      <c r="C124" s="45">
        <v>6</v>
      </c>
      <c r="D124" s="125" t="str">
        <f xml:space="preserve"> IF(C124="","",setValueToTime(C124))</f>
        <v xml:space="preserve"> 30 min</v>
      </c>
      <c r="E124" s="42" t="s">
        <v>125</v>
      </c>
      <c r="F124" s="254"/>
      <c r="G124" s="255"/>
      <c r="H124" s="152"/>
    </row>
    <row r="125" spans="2:8" s="43" customFormat="1" x14ac:dyDescent="0.3">
      <c r="B125" s="44" t="s">
        <v>76</v>
      </c>
      <c r="C125" s="45">
        <v>31</v>
      </c>
      <c r="D125" s="126" t="str">
        <f t="shared" ref="D125:D131" si="10" xml:space="preserve"> IF(C125="","",setValueToTime(C125))</f>
        <v>2h 35 min</v>
      </c>
      <c r="E125" s="46" t="s">
        <v>133</v>
      </c>
      <c r="F125" s="246"/>
      <c r="G125" s="247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 t="s">
        <v>66</v>
      </c>
      <c r="F126" s="246"/>
      <c r="G126" s="247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46"/>
      <c r="G127" s="247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6"/>
      <c r="G128" s="247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6"/>
      <c r="G129" s="247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6"/>
      <c r="G130" s="247"/>
      <c r="H130" s="152"/>
    </row>
    <row r="131" spans="2:8" s="43" customFormat="1" ht="15" thickBot="1" x14ac:dyDescent="0.35">
      <c r="B131" s="44" t="s">
        <v>53</v>
      </c>
      <c r="C131" s="45">
        <v>1</v>
      </c>
      <c r="D131" s="128" t="str">
        <f t="shared" si="10"/>
        <v xml:space="preserve"> 5 min</v>
      </c>
      <c r="E131" s="48" t="s">
        <v>86</v>
      </c>
      <c r="F131" s="248"/>
      <c r="G131" s="249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0"/>
      <c r="G132" s="251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45793</v>
      </c>
      <c r="G134" s="101" t="s">
        <v>79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2" t="s">
        <v>62</v>
      </c>
      <c r="G135" s="253"/>
      <c r="H135" s="151"/>
    </row>
    <row r="136" spans="2:8" s="43" customFormat="1" ht="27" x14ac:dyDescent="0.3">
      <c r="B136" s="40" t="s">
        <v>71</v>
      </c>
      <c r="C136" s="41">
        <v>12</v>
      </c>
      <c r="D136" s="125" t="str">
        <f xml:space="preserve"> IF(C136="","",setValueToTime(C136))</f>
        <v>1h</v>
      </c>
      <c r="E136" s="42" t="s">
        <v>132</v>
      </c>
      <c r="F136" s="254"/>
      <c r="G136" s="255"/>
      <c r="H136" s="152"/>
    </row>
    <row r="137" spans="2:8" s="43" customFormat="1" ht="27" x14ac:dyDescent="0.3">
      <c r="B137" s="44" t="s">
        <v>76</v>
      </c>
      <c r="C137" s="45">
        <v>25</v>
      </c>
      <c r="D137" s="126" t="str">
        <f t="shared" ref="D137:D143" si="11" xml:space="preserve"> IF(C137="","",setValueToTime(C137))</f>
        <v>2h 5 min</v>
      </c>
      <c r="E137" s="46" t="s">
        <v>131</v>
      </c>
      <c r="F137" s="246"/>
      <c r="G137" s="247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46"/>
      <c r="G138" s="247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46"/>
      <c r="G139" s="247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6"/>
      <c r="G140" s="247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6"/>
      <c r="G141" s="247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6"/>
      <c r="G142" s="247"/>
      <c r="H142" s="152"/>
    </row>
    <row r="143" spans="2:8" s="43" customFormat="1" ht="15" thickBot="1" x14ac:dyDescent="0.35">
      <c r="B143" s="44" t="s">
        <v>53</v>
      </c>
      <c r="C143" s="45">
        <v>1</v>
      </c>
      <c r="D143" s="128" t="str">
        <f t="shared" si="11"/>
        <v xml:space="preserve"> 5 min</v>
      </c>
      <c r="E143" s="48" t="s">
        <v>86</v>
      </c>
      <c r="F143" s="248"/>
      <c r="G143" s="249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0"/>
      <c r="G144" s="251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45793</v>
      </c>
      <c r="G146" s="101" t="s">
        <v>78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2" t="s">
        <v>62</v>
      </c>
      <c r="G147" s="253"/>
      <c r="H147" s="151"/>
    </row>
    <row r="148" spans="2:8" s="43" customFormat="1" x14ac:dyDescent="0.3">
      <c r="B148" s="40" t="s">
        <v>68</v>
      </c>
      <c r="C148" s="41">
        <v>6</v>
      </c>
      <c r="D148" s="125" t="str">
        <f xml:space="preserve"> IF(C148="","",setValueToTime(C148))</f>
        <v xml:space="preserve"> 30 min</v>
      </c>
      <c r="E148" s="42" t="s">
        <v>87</v>
      </c>
      <c r="F148" s="254"/>
      <c r="G148" s="255"/>
      <c r="H148" s="152"/>
    </row>
    <row r="149" spans="2:8" s="43" customFormat="1" x14ac:dyDescent="0.3">
      <c r="B149" s="44" t="s">
        <v>70</v>
      </c>
      <c r="C149" s="45">
        <v>6</v>
      </c>
      <c r="D149" s="126" t="str">
        <f t="shared" ref="D149:D155" si="12" xml:space="preserve"> IF(C149="","",setValueToTime(C149))</f>
        <v xml:space="preserve"> 30 min</v>
      </c>
      <c r="E149" s="46" t="s">
        <v>125</v>
      </c>
      <c r="F149" s="246"/>
      <c r="G149" s="247"/>
      <c r="H149" s="152"/>
    </row>
    <row r="150" spans="2:8" s="43" customFormat="1" x14ac:dyDescent="0.3">
      <c r="B150" s="44" t="s">
        <v>54</v>
      </c>
      <c r="C150" s="45">
        <v>10</v>
      </c>
      <c r="D150" s="126" t="str">
        <f t="shared" si="12"/>
        <v xml:space="preserve"> 50 min</v>
      </c>
      <c r="E150" s="201" t="s">
        <v>155</v>
      </c>
      <c r="F150" s="246"/>
      <c r="G150" s="247"/>
      <c r="H150" s="152"/>
    </row>
    <row r="151" spans="2:8" s="43" customFormat="1" ht="27" x14ac:dyDescent="0.3">
      <c r="B151" s="44" t="s">
        <v>75</v>
      </c>
      <c r="C151" s="45">
        <v>25</v>
      </c>
      <c r="D151" s="126" t="str">
        <f t="shared" si="12"/>
        <v>2h 5 min</v>
      </c>
      <c r="E151" s="46" t="s">
        <v>130</v>
      </c>
      <c r="F151" s="246"/>
      <c r="G151" s="247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6"/>
      <c r="G152" s="247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6"/>
      <c r="G153" s="247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6"/>
      <c r="G154" s="247"/>
      <c r="H154" s="152"/>
    </row>
    <row r="155" spans="2:8" s="43" customFormat="1" ht="15" thickBot="1" x14ac:dyDescent="0.35">
      <c r="B155" s="44" t="s">
        <v>53</v>
      </c>
      <c r="C155" s="45">
        <v>1</v>
      </c>
      <c r="D155" s="128" t="str">
        <f t="shared" si="12"/>
        <v xml:space="preserve"> 5 min</v>
      </c>
      <c r="E155" s="48" t="s">
        <v>86</v>
      </c>
      <c r="F155" s="248"/>
      <c r="G155" s="249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0"/>
      <c r="G156" s="251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45792</v>
      </c>
      <c r="G158" s="101" t="s">
        <v>79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2" t="s">
        <v>62</v>
      </c>
      <c r="G159" s="253"/>
      <c r="H159" s="151"/>
    </row>
    <row r="160" spans="2:8" s="43" customFormat="1" x14ac:dyDescent="0.3">
      <c r="B160" s="40" t="s">
        <v>71</v>
      </c>
      <c r="C160" s="41">
        <v>8</v>
      </c>
      <c r="D160" s="125" t="str">
        <f xml:space="preserve"> IF(C160="","",setValueToTime(C160))</f>
        <v xml:space="preserve"> 40 min</v>
      </c>
      <c r="E160" s="42" t="s">
        <v>128</v>
      </c>
      <c r="F160" s="254"/>
      <c r="G160" s="255"/>
      <c r="H160" s="152"/>
    </row>
    <row r="161" spans="2:8" s="43" customFormat="1" ht="27" x14ac:dyDescent="0.3">
      <c r="B161" s="44" t="s">
        <v>75</v>
      </c>
      <c r="C161" s="45">
        <v>29</v>
      </c>
      <c r="D161" s="126" t="str">
        <f t="shared" ref="D161:D167" si="13" xml:space="preserve"> IF(C161="","",setValueToTime(C161))</f>
        <v>2h 25 min</v>
      </c>
      <c r="E161" s="46" t="s">
        <v>129</v>
      </c>
      <c r="F161" s="246"/>
      <c r="G161" s="247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46"/>
      <c r="G162" s="247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46"/>
      <c r="G163" s="247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46"/>
      <c r="G164" s="247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6"/>
      <c r="G165" s="247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6"/>
      <c r="G166" s="247"/>
      <c r="H166" s="152"/>
    </row>
    <row r="167" spans="2:8" s="43" customFormat="1" ht="15" thickBot="1" x14ac:dyDescent="0.35">
      <c r="B167" s="44" t="s">
        <v>53</v>
      </c>
      <c r="C167" s="45">
        <v>1</v>
      </c>
      <c r="D167" s="128" t="str">
        <f t="shared" si="13"/>
        <v xml:space="preserve"> 5 min</v>
      </c>
      <c r="E167" s="48" t="s">
        <v>86</v>
      </c>
      <c r="F167" s="248"/>
      <c r="G167" s="249"/>
      <c r="H167" s="152"/>
    </row>
    <row r="168" spans="2:8" s="43" customFormat="1" ht="15" thickBot="1" x14ac:dyDescent="0.35">
      <c r="B168" s="86" t="s">
        <v>64</v>
      </c>
      <c r="C168" s="67">
        <f>SUM(C160:C167)</f>
        <v>38</v>
      </c>
      <c r="D168" s="86" t="str">
        <f xml:space="preserve"> setValueToTime(C168)</f>
        <v>3h 10 min</v>
      </c>
      <c r="E168" s="95"/>
      <c r="F168" s="250"/>
      <c r="G168" s="251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45791</v>
      </c>
      <c r="G170" s="101" t="s">
        <v>79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2" t="s">
        <v>62</v>
      </c>
      <c r="G171" s="253"/>
      <c r="H171" s="151"/>
    </row>
    <row r="172" spans="2:8" s="43" customFormat="1" ht="27" x14ac:dyDescent="0.3">
      <c r="B172" s="40" t="s">
        <v>75</v>
      </c>
      <c r="C172" s="41">
        <v>27</v>
      </c>
      <c r="D172" s="125" t="str">
        <f xml:space="preserve"> IF(C172="","",setValueToTime(C172))</f>
        <v>2h 15 min</v>
      </c>
      <c r="E172" s="42" t="s">
        <v>127</v>
      </c>
      <c r="F172" s="254"/>
      <c r="G172" s="255"/>
      <c r="H172" s="152"/>
    </row>
    <row r="173" spans="2:8" s="43" customFormat="1" x14ac:dyDescent="0.3">
      <c r="B173" s="44" t="s">
        <v>54</v>
      </c>
      <c r="C173" s="45">
        <v>10</v>
      </c>
      <c r="D173" s="126" t="str">
        <f t="shared" ref="D173:D179" si="14" xml:space="preserve"> IF(C173="","",setValueToTime(C173))</f>
        <v xml:space="preserve"> 50 min</v>
      </c>
      <c r="E173" s="201" t="s">
        <v>155</v>
      </c>
      <c r="F173" s="246"/>
      <c r="G173" s="247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46"/>
      <c r="G174" s="247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6"/>
      <c r="G175" s="247"/>
      <c r="H175" s="15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6"/>
      <c r="G176" s="247"/>
      <c r="H176" s="15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6"/>
      <c r="G177" s="247"/>
      <c r="H177" s="15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6"/>
      <c r="G178" s="247"/>
      <c r="H178" s="152"/>
    </row>
    <row r="179" spans="2:8" s="43" customFormat="1" ht="15" thickBot="1" x14ac:dyDescent="0.35">
      <c r="B179" s="44" t="s">
        <v>53</v>
      </c>
      <c r="C179" s="45">
        <v>1</v>
      </c>
      <c r="D179" s="128" t="str">
        <f t="shared" si="14"/>
        <v xml:space="preserve"> 5 min</v>
      </c>
      <c r="E179" s="48" t="s">
        <v>86</v>
      </c>
      <c r="F179" s="248"/>
      <c r="G179" s="249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0"/>
      <c r="G180" s="251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45791</v>
      </c>
      <c r="G182" s="101" t="s">
        <v>78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2" t="s">
        <v>62</v>
      </c>
      <c r="G183" s="253"/>
      <c r="H183" s="151"/>
    </row>
    <row r="184" spans="2:8" s="43" customFormat="1" x14ac:dyDescent="0.3">
      <c r="B184" s="40" t="s">
        <v>54</v>
      </c>
      <c r="C184" s="41">
        <v>15</v>
      </c>
      <c r="D184" s="125" t="str">
        <f xml:space="preserve"> IF(C184="","",setValueToTime(C184))</f>
        <v>1h 15 min</v>
      </c>
      <c r="E184" s="201" t="s">
        <v>154</v>
      </c>
      <c r="F184" s="254"/>
      <c r="G184" s="255"/>
      <c r="H184" s="152"/>
    </row>
    <row r="185" spans="2:8" s="43" customFormat="1" x14ac:dyDescent="0.3">
      <c r="B185" s="44" t="s">
        <v>70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125</v>
      </c>
      <c r="F185" s="246"/>
      <c r="G185" s="247"/>
      <c r="H185" s="152"/>
    </row>
    <row r="186" spans="2:8" s="43" customFormat="1" ht="27" x14ac:dyDescent="0.3">
      <c r="B186" s="44" t="s">
        <v>75</v>
      </c>
      <c r="C186" s="45">
        <v>25</v>
      </c>
      <c r="D186" s="126" t="str">
        <f t="shared" si="15"/>
        <v>2h 5 min</v>
      </c>
      <c r="E186" s="46" t="s">
        <v>126</v>
      </c>
      <c r="F186" s="246"/>
      <c r="G186" s="247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46"/>
      <c r="G187" s="247"/>
      <c r="H187" s="15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6"/>
      <c r="G188" s="247"/>
      <c r="H188" s="15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6"/>
      <c r="G189" s="247"/>
      <c r="H189" s="15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6"/>
      <c r="G190" s="247"/>
      <c r="H190" s="152"/>
    </row>
    <row r="191" spans="2:8" s="43" customFormat="1" ht="15" thickBot="1" x14ac:dyDescent="0.35">
      <c r="B191" s="44" t="s">
        <v>53</v>
      </c>
      <c r="C191" s="45">
        <v>1</v>
      </c>
      <c r="D191" s="128" t="str">
        <f t="shared" si="15"/>
        <v xml:space="preserve"> 5 min</v>
      </c>
      <c r="E191" s="48" t="s">
        <v>86</v>
      </c>
      <c r="F191" s="248"/>
      <c r="G191" s="249"/>
      <c r="H191" s="152"/>
    </row>
    <row r="192" spans="2:8" s="43" customFormat="1" ht="15" thickBot="1" x14ac:dyDescent="0.35">
      <c r="B192" s="86" t="s">
        <v>64</v>
      </c>
      <c r="C192" s="67">
        <f>SUM(C184:C191)</f>
        <v>48</v>
      </c>
      <c r="D192" s="86" t="str">
        <f xml:space="preserve"> setValueToTime(C192)</f>
        <v>4h</v>
      </c>
      <c r="E192" s="95"/>
      <c r="F192" s="250"/>
      <c r="G192" s="251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45789</v>
      </c>
      <c r="G194" s="101" t="s">
        <v>79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2" t="s">
        <v>62</v>
      </c>
      <c r="G195" s="253"/>
      <c r="H195" s="151"/>
    </row>
    <row r="196" spans="2:8" s="43" customFormat="1" ht="27" x14ac:dyDescent="0.3">
      <c r="B196" s="44" t="s">
        <v>75</v>
      </c>
      <c r="C196" s="41">
        <v>20</v>
      </c>
      <c r="D196" s="125" t="str">
        <f xml:space="preserve"> IF(C196="","",setValueToTime(C196))</f>
        <v>1h 40 min</v>
      </c>
      <c r="E196" s="46" t="s">
        <v>106</v>
      </c>
      <c r="F196" s="254"/>
      <c r="G196" s="255"/>
      <c r="H196" s="152"/>
    </row>
    <row r="197" spans="2:8" s="43" customFormat="1" x14ac:dyDescent="0.3">
      <c r="B197" s="44" t="s">
        <v>71</v>
      </c>
      <c r="C197" s="45">
        <v>8</v>
      </c>
      <c r="D197" s="126" t="str">
        <f t="shared" ref="D197:D203" si="16" xml:space="preserve"> IF(C197="","",setValueToTime(C197))</f>
        <v xml:space="preserve"> 40 min</v>
      </c>
      <c r="E197" s="46" t="s">
        <v>124</v>
      </c>
      <c r="F197" s="246"/>
      <c r="G197" s="247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46"/>
      <c r="G198" s="247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46"/>
      <c r="G199" s="247"/>
      <c r="H199" s="15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6"/>
      <c r="G200" s="247"/>
      <c r="H200" s="15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6"/>
      <c r="G201" s="247"/>
      <c r="H201" s="15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6"/>
      <c r="G202" s="247"/>
      <c r="H202" s="152"/>
    </row>
    <row r="203" spans="2:8" s="43" customFormat="1" ht="15" thickBot="1" x14ac:dyDescent="0.35">
      <c r="B203" s="44" t="s">
        <v>53</v>
      </c>
      <c r="C203" s="45">
        <v>1</v>
      </c>
      <c r="D203" s="128" t="str">
        <f t="shared" si="16"/>
        <v xml:space="preserve"> 5 min</v>
      </c>
      <c r="E203" s="48" t="s">
        <v>86</v>
      </c>
      <c r="F203" s="248"/>
      <c r="G203" s="249"/>
      <c r="H203" s="152"/>
    </row>
    <row r="204" spans="2:8" s="43" customFormat="1" ht="15" thickBot="1" x14ac:dyDescent="0.35">
      <c r="B204" s="86" t="s">
        <v>64</v>
      </c>
      <c r="C204" s="67">
        <f>SUM(C196:C203)</f>
        <v>29</v>
      </c>
      <c r="D204" s="86" t="str">
        <f xml:space="preserve"> setValueToTime(C204)</f>
        <v>2h 25 min</v>
      </c>
      <c r="E204" s="95"/>
      <c r="F204" s="250"/>
      <c r="G204" s="251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45789</v>
      </c>
      <c r="G206" s="101" t="s">
        <v>78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2" t="s">
        <v>62</v>
      </c>
      <c r="G207" s="253"/>
      <c r="H207" s="151"/>
    </row>
    <row r="208" spans="2:8" s="43" customFormat="1" x14ac:dyDescent="0.3">
      <c r="B208" s="40" t="s">
        <v>71</v>
      </c>
      <c r="C208" s="41">
        <v>24</v>
      </c>
      <c r="D208" s="125" t="str">
        <f xml:space="preserve"> IF(C208="","",setValueToTime(C208))</f>
        <v>2h</v>
      </c>
      <c r="E208" s="46" t="s">
        <v>105</v>
      </c>
      <c r="F208" s="254"/>
      <c r="G208" s="255"/>
      <c r="H208" s="152"/>
    </row>
    <row r="209" spans="2:8" s="43" customFormat="1" ht="27" x14ac:dyDescent="0.3">
      <c r="B209" s="44" t="s">
        <v>75</v>
      </c>
      <c r="C209" s="45">
        <v>13</v>
      </c>
      <c r="D209" s="126" t="str">
        <f t="shared" ref="D209:D215" si="17" xml:space="preserve"> IF(C209="","",setValueToTime(C209))</f>
        <v>1h 5 min</v>
      </c>
      <c r="E209" s="46" t="s">
        <v>106</v>
      </c>
      <c r="F209" s="246"/>
      <c r="G209" s="247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46"/>
      <c r="G210" s="247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46"/>
      <c r="G211" s="247"/>
      <c r="H211" s="152"/>
    </row>
    <row r="212" spans="2:8" s="43" customFormat="1" x14ac:dyDescent="0.3">
      <c r="B212" s="44"/>
      <c r="C212" s="45"/>
      <c r="D212" s="127" t="str">
        <f t="shared" si="17"/>
        <v/>
      </c>
      <c r="E212" s="46"/>
      <c r="F212" s="246"/>
      <c r="G212" s="247"/>
      <c r="H212" s="15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6"/>
      <c r="G213" s="247"/>
      <c r="H213" s="15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6"/>
      <c r="G214" s="247"/>
      <c r="H214" s="152"/>
    </row>
    <row r="215" spans="2:8" s="43" customFormat="1" ht="15" thickBot="1" x14ac:dyDescent="0.35">
      <c r="B215" s="44" t="s">
        <v>53</v>
      </c>
      <c r="C215" s="45">
        <v>1</v>
      </c>
      <c r="D215" s="128" t="str">
        <f t="shared" si="17"/>
        <v xml:space="preserve"> 5 min</v>
      </c>
      <c r="E215" s="48" t="s">
        <v>86</v>
      </c>
      <c r="F215" s="248"/>
      <c r="G215" s="249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0"/>
      <c r="G216" s="251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45786</v>
      </c>
      <c r="G218" s="101" t="s">
        <v>79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2" t="s">
        <v>62</v>
      </c>
      <c r="G219" s="253"/>
      <c r="H219" s="151"/>
    </row>
    <row r="220" spans="2:8" s="43" customFormat="1" ht="27" x14ac:dyDescent="0.3">
      <c r="B220" s="40" t="s">
        <v>103</v>
      </c>
      <c r="C220" s="41">
        <v>25</v>
      </c>
      <c r="D220" s="125" t="str">
        <f xml:space="preserve"> IF(C220="","",setValueToTime(C220))</f>
        <v>2h 5 min</v>
      </c>
      <c r="E220" s="46" t="s">
        <v>104</v>
      </c>
      <c r="F220" s="254"/>
      <c r="G220" s="255"/>
      <c r="H220" s="152"/>
    </row>
    <row r="221" spans="2:8" s="43" customFormat="1" x14ac:dyDescent="0.3">
      <c r="B221" s="44" t="s">
        <v>54</v>
      </c>
      <c r="C221" s="45">
        <v>12</v>
      </c>
      <c r="D221" s="126" t="str">
        <f t="shared" ref="D221:D227" si="18" xml:space="preserve"> IF(C221="","",setValueToTime(C221))</f>
        <v>1h</v>
      </c>
      <c r="E221" s="201" t="s">
        <v>154</v>
      </c>
      <c r="F221" s="246"/>
      <c r="G221" s="247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46"/>
      <c r="G222" s="247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46"/>
      <c r="G223" s="247"/>
      <c r="H223" s="15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6"/>
      <c r="G224" s="247"/>
      <c r="H224" s="15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6"/>
      <c r="G225" s="247"/>
      <c r="H225" s="15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6"/>
      <c r="G226" s="247"/>
      <c r="H226" s="152"/>
    </row>
    <row r="227" spans="2:8" s="43" customFormat="1" ht="15" thickBot="1" x14ac:dyDescent="0.35">
      <c r="B227" s="44" t="s">
        <v>53</v>
      </c>
      <c r="C227" s="45">
        <v>1</v>
      </c>
      <c r="D227" s="128" t="str">
        <f t="shared" si="18"/>
        <v xml:space="preserve"> 5 min</v>
      </c>
      <c r="E227" s="48" t="s">
        <v>86</v>
      </c>
      <c r="F227" s="248"/>
      <c r="G227" s="249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0"/>
      <c r="G228" s="251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45786</v>
      </c>
      <c r="G230" s="101" t="s">
        <v>78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2" t="s">
        <v>62</v>
      </c>
      <c r="G231" s="253"/>
      <c r="H231" s="151"/>
    </row>
    <row r="232" spans="2:8" s="43" customFormat="1" ht="27" x14ac:dyDescent="0.3">
      <c r="B232" s="40" t="s">
        <v>77</v>
      </c>
      <c r="C232" s="41">
        <v>11</v>
      </c>
      <c r="D232" s="125" t="str">
        <f xml:space="preserve"> IF(C232="","",setValueToTime(C232))</f>
        <v xml:space="preserve"> 55 min</v>
      </c>
      <c r="E232" s="42" t="s">
        <v>100</v>
      </c>
      <c r="F232" s="254"/>
      <c r="G232" s="255"/>
      <c r="H232" s="152"/>
    </row>
    <row r="233" spans="2:8" s="43" customFormat="1" x14ac:dyDescent="0.3">
      <c r="B233" s="44" t="s">
        <v>70</v>
      </c>
      <c r="C233" s="45">
        <v>6</v>
      </c>
      <c r="D233" s="126" t="str">
        <f t="shared" ref="D233:D239" si="19" xml:space="preserve"> IF(C233="","",setValueToTime(C233))</f>
        <v xml:space="preserve"> 30 min</v>
      </c>
      <c r="E233" s="46" t="s">
        <v>102</v>
      </c>
      <c r="F233" s="246"/>
      <c r="G233" s="247"/>
      <c r="H233" s="152"/>
    </row>
    <row r="234" spans="2:8" s="43" customFormat="1" ht="27" x14ac:dyDescent="0.3">
      <c r="B234" s="44" t="s">
        <v>103</v>
      </c>
      <c r="C234" s="45">
        <v>30</v>
      </c>
      <c r="D234" s="126" t="str">
        <f t="shared" si="19"/>
        <v>2h 30 min</v>
      </c>
      <c r="E234" s="46" t="s">
        <v>104</v>
      </c>
      <c r="F234" s="246"/>
      <c r="G234" s="247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46"/>
      <c r="G235" s="247"/>
      <c r="H235" s="152"/>
    </row>
    <row r="236" spans="2:8" s="43" customFormat="1" x14ac:dyDescent="0.3">
      <c r="B236" s="44"/>
      <c r="C236" s="45"/>
      <c r="D236" s="127" t="str">
        <f t="shared" si="19"/>
        <v/>
      </c>
      <c r="E236" s="46"/>
      <c r="F236" s="246"/>
      <c r="G236" s="247"/>
      <c r="H236" s="15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6"/>
      <c r="G237" s="247"/>
      <c r="H237" s="15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6"/>
      <c r="G238" s="247"/>
      <c r="H238" s="152"/>
    </row>
    <row r="239" spans="2:8" s="43" customFormat="1" ht="15" thickBot="1" x14ac:dyDescent="0.35">
      <c r="B239" s="44" t="s">
        <v>53</v>
      </c>
      <c r="C239" s="45">
        <v>1</v>
      </c>
      <c r="D239" s="128" t="str">
        <f t="shared" si="19"/>
        <v xml:space="preserve"> 5 min</v>
      </c>
      <c r="E239" s="48" t="s">
        <v>86</v>
      </c>
      <c r="F239" s="248"/>
      <c r="G239" s="249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0"/>
      <c r="G240" s="251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45785</v>
      </c>
      <c r="G242" s="101" t="s">
        <v>79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2" t="s">
        <v>62</v>
      </c>
      <c r="G243" s="253"/>
      <c r="H243" s="151"/>
    </row>
    <row r="244" spans="2:8" s="43" customFormat="1" ht="27" x14ac:dyDescent="0.3">
      <c r="B244" s="40" t="s">
        <v>75</v>
      </c>
      <c r="C244" s="41">
        <v>15</v>
      </c>
      <c r="D244" s="125" t="str">
        <f xml:space="preserve"> IF(C244="","",setValueToTime(C244))</f>
        <v>1h 15 min</v>
      </c>
      <c r="E244" s="42" t="s">
        <v>99</v>
      </c>
      <c r="F244" s="254"/>
      <c r="G244" s="255"/>
      <c r="H244" s="152"/>
    </row>
    <row r="245" spans="2:8" s="43" customFormat="1" x14ac:dyDescent="0.3">
      <c r="B245" s="44" t="s">
        <v>54</v>
      </c>
      <c r="C245" s="45">
        <v>10</v>
      </c>
      <c r="D245" s="126" t="str">
        <f t="shared" ref="D245:D251" si="20" xml:space="preserve"> IF(C245="","",setValueToTime(C245))</f>
        <v xml:space="preserve"> 50 min</v>
      </c>
      <c r="E245" s="201" t="s">
        <v>154</v>
      </c>
      <c r="F245" s="246"/>
      <c r="G245" s="247"/>
      <c r="H245" s="152"/>
    </row>
    <row r="246" spans="2:8" s="43" customFormat="1" x14ac:dyDescent="0.3">
      <c r="B246" s="44" t="s">
        <v>71</v>
      </c>
      <c r="C246" s="45">
        <v>12</v>
      </c>
      <c r="D246" s="126" t="str">
        <f t="shared" si="20"/>
        <v>1h</v>
      </c>
      <c r="E246" s="46" t="s">
        <v>101</v>
      </c>
      <c r="F246" s="246"/>
      <c r="G246" s="247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46"/>
      <c r="G247" s="247"/>
      <c r="H247" s="15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6"/>
      <c r="G248" s="247"/>
      <c r="H248" s="15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6"/>
      <c r="G249" s="247"/>
      <c r="H249" s="15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6"/>
      <c r="G250" s="247"/>
      <c r="H250" s="152"/>
    </row>
    <row r="251" spans="2:8" s="43" customFormat="1" ht="15" thickBot="1" x14ac:dyDescent="0.35">
      <c r="B251" s="44" t="s">
        <v>53</v>
      </c>
      <c r="C251" s="45">
        <v>1</v>
      </c>
      <c r="D251" s="128" t="str">
        <f t="shared" si="20"/>
        <v xml:space="preserve"> 5 min</v>
      </c>
      <c r="E251" s="48" t="s">
        <v>86</v>
      </c>
      <c r="F251" s="248"/>
      <c r="G251" s="249"/>
      <c r="H251" s="152"/>
    </row>
    <row r="252" spans="2:8" s="43" customFormat="1" ht="15" thickBot="1" x14ac:dyDescent="0.35">
      <c r="B252" s="86" t="s">
        <v>64</v>
      </c>
      <c r="C252" s="67">
        <f>SUM(C244:C251)</f>
        <v>38</v>
      </c>
      <c r="D252" s="86" t="str">
        <f xml:space="preserve"> setValueToTime(C252)</f>
        <v>3h 10 min</v>
      </c>
      <c r="E252" s="95"/>
      <c r="F252" s="250"/>
      <c r="G252" s="251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45784</v>
      </c>
      <c r="G254" s="101" t="s">
        <v>79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2" t="s">
        <v>62</v>
      </c>
      <c r="G255" s="253"/>
      <c r="H255" s="151"/>
    </row>
    <row r="256" spans="2:8" s="43" customFormat="1" x14ac:dyDescent="0.3">
      <c r="B256" s="40" t="s">
        <v>54</v>
      </c>
      <c r="C256" s="41">
        <v>10</v>
      </c>
      <c r="D256" s="125" t="str">
        <f xml:space="preserve"> IF(C256="","",setValueToTime(C256))</f>
        <v xml:space="preserve"> 50 min</v>
      </c>
      <c r="E256" s="200" t="s">
        <v>153</v>
      </c>
      <c r="F256" s="254"/>
      <c r="G256" s="255"/>
      <c r="H256" s="152"/>
    </row>
    <row r="257" spans="2:8" s="43" customFormat="1" ht="27" x14ac:dyDescent="0.3">
      <c r="B257" s="44" t="s">
        <v>74</v>
      </c>
      <c r="C257" s="45">
        <v>12</v>
      </c>
      <c r="D257" s="126" t="str">
        <f t="shared" ref="D257:D263" si="21" xml:space="preserve"> IF(C257="","",setValueToTime(C257))</f>
        <v>1h</v>
      </c>
      <c r="E257" s="46" t="s">
        <v>93</v>
      </c>
      <c r="F257" s="246"/>
      <c r="G257" s="247"/>
      <c r="H257" s="152"/>
    </row>
    <row r="258" spans="2:8" s="43" customFormat="1" x14ac:dyDescent="0.3">
      <c r="B258" s="44" t="s">
        <v>54</v>
      </c>
      <c r="C258" s="45">
        <v>15</v>
      </c>
      <c r="D258" s="126" t="str">
        <f t="shared" si="21"/>
        <v>1h 15 min</v>
      </c>
      <c r="E258" s="46" t="s">
        <v>94</v>
      </c>
      <c r="F258" s="246"/>
      <c r="G258" s="247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6"/>
      <c r="G259" s="247"/>
      <c r="H259" s="15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6"/>
      <c r="G260" s="247"/>
      <c r="H260" s="15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6"/>
      <c r="G261" s="247"/>
      <c r="H261" s="15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6"/>
      <c r="G262" s="247"/>
      <c r="H262" s="152"/>
    </row>
    <row r="263" spans="2:8" s="43" customFormat="1" ht="15" thickBot="1" x14ac:dyDescent="0.35">
      <c r="B263" s="44" t="s">
        <v>53</v>
      </c>
      <c r="C263" s="45">
        <v>1</v>
      </c>
      <c r="D263" s="128" t="str">
        <f t="shared" si="21"/>
        <v xml:space="preserve"> 5 min</v>
      </c>
      <c r="E263" s="48" t="s">
        <v>86</v>
      </c>
      <c r="F263" s="248"/>
      <c r="G263" s="249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0"/>
      <c r="G264" s="251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45784</v>
      </c>
      <c r="G266" s="101" t="s">
        <v>78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2" t="s">
        <v>62</v>
      </c>
      <c r="G267" s="253"/>
      <c r="H267" s="151"/>
    </row>
    <row r="268" spans="2:8" s="43" customFormat="1" x14ac:dyDescent="0.3">
      <c r="B268" s="40" t="s">
        <v>85</v>
      </c>
      <c r="C268" s="41">
        <v>30</v>
      </c>
      <c r="D268" s="125" t="str">
        <f xml:space="preserve"> IF(C268="","",setValueToTime(C268))</f>
        <v>2h 30 min</v>
      </c>
      <c r="E268" s="42" t="s">
        <v>89</v>
      </c>
      <c r="F268" s="254"/>
      <c r="G268" s="255"/>
      <c r="H268" s="152"/>
    </row>
    <row r="269" spans="2:8" s="43" customFormat="1" x14ac:dyDescent="0.3">
      <c r="B269" s="44" t="s">
        <v>71</v>
      </c>
      <c r="C269" s="45">
        <v>6</v>
      </c>
      <c r="D269" s="126" t="str">
        <f t="shared" ref="D269:D275" si="22" xml:space="preserve"> IF(C269="","",setValueToTime(C269))</f>
        <v xml:space="preserve"> 30 min</v>
      </c>
      <c r="E269" s="46" t="s">
        <v>91</v>
      </c>
      <c r="F269" s="246"/>
      <c r="G269" s="247"/>
      <c r="H269" s="152"/>
    </row>
    <row r="270" spans="2:8" s="43" customFormat="1" ht="27" x14ac:dyDescent="0.3">
      <c r="B270" s="44" t="s">
        <v>74</v>
      </c>
      <c r="C270" s="45">
        <v>11</v>
      </c>
      <c r="D270" s="126" t="str">
        <f t="shared" si="22"/>
        <v xml:space="preserve"> 55 min</v>
      </c>
      <c r="E270" s="46" t="s">
        <v>92</v>
      </c>
      <c r="F270" s="246"/>
      <c r="G270" s="247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46"/>
      <c r="G271" s="247"/>
      <c r="H271" s="152"/>
    </row>
    <row r="272" spans="2:8" s="43" customFormat="1" x14ac:dyDescent="0.3">
      <c r="B272" s="44"/>
      <c r="C272" s="45"/>
      <c r="D272" s="127" t="str">
        <f t="shared" si="22"/>
        <v/>
      </c>
      <c r="E272" s="46"/>
      <c r="F272" s="246"/>
      <c r="G272" s="247"/>
      <c r="H272" s="15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6"/>
      <c r="G273" s="247"/>
      <c r="H273" s="15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6"/>
      <c r="G274" s="247"/>
      <c r="H274" s="152"/>
    </row>
    <row r="275" spans="2:8" s="43" customFormat="1" ht="15" thickBot="1" x14ac:dyDescent="0.35">
      <c r="B275" s="44" t="s">
        <v>53</v>
      </c>
      <c r="C275" s="45">
        <v>1</v>
      </c>
      <c r="D275" s="128" t="str">
        <f t="shared" si="22"/>
        <v xml:space="preserve"> 5 min</v>
      </c>
      <c r="E275" s="48" t="s">
        <v>86</v>
      </c>
      <c r="F275" s="248"/>
      <c r="G275" s="249"/>
      <c r="H275" s="152"/>
    </row>
    <row r="276" spans="2:8" s="43" customFormat="1" ht="15" thickBot="1" x14ac:dyDescent="0.35">
      <c r="B276" s="86" t="s">
        <v>64</v>
      </c>
      <c r="C276" s="67">
        <f>SUM(C268:C275)</f>
        <v>48</v>
      </c>
      <c r="D276" s="86" t="str">
        <f xml:space="preserve"> setValueToTime(C276)</f>
        <v>4h</v>
      </c>
      <c r="E276" s="95"/>
      <c r="F276" s="250"/>
      <c r="G276" s="251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45782</v>
      </c>
      <c r="G278" s="101" t="s">
        <v>79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2" t="s">
        <v>62</v>
      </c>
      <c r="G279" s="253"/>
      <c r="H279" s="151"/>
    </row>
    <row r="280" spans="2:8" s="43" customFormat="1" ht="40.5" x14ac:dyDescent="0.3">
      <c r="B280" s="44" t="s">
        <v>71</v>
      </c>
      <c r="C280" s="45">
        <v>12</v>
      </c>
      <c r="D280" s="125" t="str">
        <f xml:space="preserve"> IF(C280="","",setValueToTime(C280))</f>
        <v>1h</v>
      </c>
      <c r="E280" s="42" t="s">
        <v>146</v>
      </c>
      <c r="F280" s="254"/>
      <c r="G280" s="255"/>
      <c r="H280" s="152"/>
    </row>
    <row r="281" spans="2:8" s="43" customFormat="1" x14ac:dyDescent="0.3">
      <c r="B281" s="44" t="s">
        <v>54</v>
      </c>
      <c r="C281" s="45">
        <v>9</v>
      </c>
      <c r="D281" s="126" t="str">
        <f t="shared" ref="D281:D287" si="23" xml:space="preserve"> IF(C281="","",setValueToTime(C281))</f>
        <v xml:space="preserve"> 45 min</v>
      </c>
      <c r="E281" s="201" t="s">
        <v>152</v>
      </c>
      <c r="F281" s="246"/>
      <c r="G281" s="247"/>
      <c r="H281" s="152"/>
    </row>
    <row r="282" spans="2:8" s="43" customFormat="1" x14ac:dyDescent="0.3">
      <c r="B282" s="44" t="s">
        <v>88</v>
      </c>
      <c r="C282" s="45">
        <v>7</v>
      </c>
      <c r="D282" s="126" t="str">
        <f t="shared" si="23"/>
        <v xml:space="preserve"> 35 min</v>
      </c>
      <c r="E282" s="46" t="s">
        <v>90</v>
      </c>
      <c r="F282" s="246"/>
      <c r="G282" s="247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6"/>
      <c r="G283" s="247"/>
      <c r="H283" s="15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6"/>
      <c r="G284" s="247"/>
      <c r="H284" s="15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6"/>
      <c r="G285" s="247"/>
      <c r="H285" s="15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6"/>
      <c r="G286" s="247"/>
      <c r="H286" s="152"/>
    </row>
    <row r="287" spans="2:8" s="43" customFormat="1" ht="15" thickBot="1" x14ac:dyDescent="0.35">
      <c r="B287" s="44" t="s">
        <v>53</v>
      </c>
      <c r="C287" s="45">
        <v>1</v>
      </c>
      <c r="D287" s="128" t="str">
        <f t="shared" si="23"/>
        <v xml:space="preserve"> 5 min</v>
      </c>
      <c r="E287" s="46"/>
      <c r="F287" s="248"/>
      <c r="G287" s="249"/>
      <c r="H287" s="152"/>
    </row>
    <row r="288" spans="2:8" s="43" customFormat="1" ht="15" thickBot="1" x14ac:dyDescent="0.35">
      <c r="B288" s="86" t="s">
        <v>64</v>
      </c>
      <c r="C288" s="67">
        <f>SUM(C280:C287)</f>
        <v>29</v>
      </c>
      <c r="D288" s="86" t="str">
        <f xml:space="preserve"> setValueToTime(C288)</f>
        <v>2h 25 min</v>
      </c>
      <c r="E288" s="48" t="s">
        <v>86</v>
      </c>
      <c r="F288" s="250"/>
      <c r="G288" s="251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45782</v>
      </c>
      <c r="G290" s="101" t="s">
        <v>78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2" t="s">
        <v>62</v>
      </c>
      <c r="G291" s="253"/>
      <c r="H291" s="151"/>
    </row>
    <row r="292" spans="2:8" s="43" customFormat="1" ht="27" x14ac:dyDescent="0.3">
      <c r="B292" s="40" t="s">
        <v>81</v>
      </c>
      <c r="C292" s="41">
        <v>10</v>
      </c>
      <c r="D292" s="125" t="str">
        <f xml:space="preserve"> IF(C292="","",setValueToTime(C292))</f>
        <v xml:space="preserve"> 50 min</v>
      </c>
      <c r="E292" s="200" t="s">
        <v>151</v>
      </c>
      <c r="F292" s="254"/>
      <c r="G292" s="255"/>
      <c r="H292" s="152"/>
    </row>
    <row r="293" spans="2:8" s="43" customFormat="1" x14ac:dyDescent="0.3">
      <c r="B293" s="44" t="s">
        <v>54</v>
      </c>
      <c r="C293" s="45">
        <v>7</v>
      </c>
      <c r="D293" s="126" t="str">
        <f t="shared" ref="D293:D299" si="24" xml:space="preserve"> IF(C293="","",setValueToTime(C293))</f>
        <v xml:space="preserve"> 35 min</v>
      </c>
      <c r="E293" s="201" t="s">
        <v>150</v>
      </c>
      <c r="F293" s="246"/>
      <c r="G293" s="247"/>
      <c r="H293" s="152"/>
    </row>
    <row r="294" spans="2:8" s="43" customFormat="1" ht="40.5" x14ac:dyDescent="0.3">
      <c r="B294" s="44" t="s">
        <v>71</v>
      </c>
      <c r="C294" s="45">
        <v>15</v>
      </c>
      <c r="D294" s="126" t="str">
        <f t="shared" si="24"/>
        <v>1h 15 min</v>
      </c>
      <c r="E294" s="201" t="s">
        <v>146</v>
      </c>
      <c r="F294" s="246"/>
      <c r="G294" s="247"/>
      <c r="H294" s="152"/>
    </row>
    <row r="295" spans="2:8" s="43" customFormat="1" ht="40.5" x14ac:dyDescent="0.3">
      <c r="B295" s="44" t="s">
        <v>80</v>
      </c>
      <c r="C295" s="45">
        <v>5</v>
      </c>
      <c r="D295" s="126" t="str">
        <f t="shared" si="24"/>
        <v xml:space="preserve"> 25 min</v>
      </c>
      <c r="E295" s="46" t="s">
        <v>145</v>
      </c>
      <c r="F295" s="246"/>
      <c r="G295" s="247"/>
      <c r="H295" s="152"/>
    </row>
    <row r="296" spans="2:8" s="43" customFormat="1" x14ac:dyDescent="0.3">
      <c r="B296" s="44"/>
      <c r="C296" s="45"/>
      <c r="D296" s="127" t="str">
        <f t="shared" si="24"/>
        <v/>
      </c>
      <c r="E296" s="46"/>
      <c r="F296" s="246"/>
      <c r="G296" s="247"/>
      <c r="H296" s="152"/>
    </row>
    <row r="297" spans="2:8" s="43" customFormat="1" x14ac:dyDescent="0.3">
      <c r="B297" s="44"/>
      <c r="C297" s="45"/>
      <c r="D297" s="127" t="str">
        <f t="shared" si="24"/>
        <v/>
      </c>
      <c r="E297" s="46"/>
      <c r="F297" s="246"/>
      <c r="G297" s="247"/>
      <c r="H297" s="152"/>
    </row>
    <row r="298" spans="2:8" s="43" customFormat="1" x14ac:dyDescent="0.3">
      <c r="B298" s="44"/>
      <c r="C298" s="45"/>
      <c r="D298" s="127" t="str">
        <f t="shared" si="24"/>
        <v/>
      </c>
      <c r="E298" s="46"/>
      <c r="F298" s="246"/>
      <c r="G298" s="247"/>
      <c r="H298" s="152"/>
    </row>
    <row r="299" spans="2:8" s="43" customFormat="1" ht="15" thickBot="1" x14ac:dyDescent="0.35">
      <c r="B299" s="44" t="s">
        <v>53</v>
      </c>
      <c r="C299" s="45">
        <v>1</v>
      </c>
      <c r="D299" s="128" t="str">
        <f t="shared" si="24"/>
        <v xml:space="preserve"> 5 min</v>
      </c>
      <c r="E299" s="48" t="s">
        <v>86</v>
      </c>
      <c r="F299" s="248"/>
      <c r="G299" s="249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0"/>
      <c r="G300" s="251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45779</v>
      </c>
      <c r="G302" s="101" t="s">
        <v>79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2" t="s">
        <v>62</v>
      </c>
      <c r="G303" s="253"/>
      <c r="H303" s="151"/>
    </row>
    <row r="304" spans="2:8" s="43" customFormat="1" x14ac:dyDescent="0.3">
      <c r="B304" s="40" t="s">
        <v>96</v>
      </c>
      <c r="C304" s="41">
        <v>5</v>
      </c>
      <c r="D304" s="125" t="str">
        <f xml:space="preserve"> IF(C304="","",setValueToTime(C304))</f>
        <v xml:space="preserve"> 25 min</v>
      </c>
      <c r="E304" s="201" t="s">
        <v>97</v>
      </c>
      <c r="F304" s="254"/>
      <c r="G304" s="255"/>
      <c r="H304" s="152"/>
    </row>
    <row r="305" spans="2:8" s="43" customFormat="1" x14ac:dyDescent="0.3">
      <c r="B305" s="44" t="s">
        <v>52</v>
      </c>
      <c r="C305" s="45">
        <v>33</v>
      </c>
      <c r="D305" s="126" t="str">
        <f t="shared" ref="D305:D311" si="25" xml:space="preserve"> IF(C305="","",setValueToTime(C305))</f>
        <v>2h 45 min</v>
      </c>
      <c r="E305" s="46" t="s">
        <v>84</v>
      </c>
      <c r="F305" s="246"/>
      <c r="G305" s="247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46"/>
      <c r="G306" s="247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6"/>
      <c r="G307" s="247"/>
      <c r="H307" s="15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6"/>
      <c r="G308" s="247"/>
      <c r="H308" s="15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6"/>
      <c r="G309" s="247"/>
      <c r="H309" s="15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6"/>
      <c r="G310" s="247"/>
      <c r="H310" s="15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8"/>
      <c r="G311" s="249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0"/>
      <c r="G312" s="251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45779</v>
      </c>
      <c r="G314" s="101" t="s">
        <v>78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2" t="s">
        <v>62</v>
      </c>
      <c r="G315" s="253"/>
      <c r="H315" s="151"/>
    </row>
    <row r="316" spans="2:8" s="43" customFormat="1" x14ac:dyDescent="0.3">
      <c r="B316" s="40" t="s">
        <v>69</v>
      </c>
      <c r="C316" s="41">
        <v>6</v>
      </c>
      <c r="D316" s="125" t="str">
        <f xml:space="preserve"> IF(C316="","",setValueToTime(C316))</f>
        <v xml:space="preserve"> 30 min</v>
      </c>
      <c r="E316" s="42" t="s">
        <v>83</v>
      </c>
      <c r="F316" s="254"/>
      <c r="G316" s="255"/>
      <c r="H316" s="152"/>
    </row>
    <row r="317" spans="2:8" s="43" customFormat="1" x14ac:dyDescent="0.3">
      <c r="B317" s="44" t="s">
        <v>96</v>
      </c>
      <c r="C317" s="45">
        <v>5</v>
      </c>
      <c r="D317" s="126" t="str">
        <f t="shared" ref="D317:D323" si="26" xml:space="preserve"> IF(C317="","",setValueToTime(C317))</f>
        <v xml:space="preserve"> 25 min</v>
      </c>
      <c r="E317" s="46" t="s">
        <v>97</v>
      </c>
      <c r="F317" s="246"/>
      <c r="G317" s="247"/>
      <c r="H317" s="152"/>
    </row>
    <row r="318" spans="2:8" s="43" customFormat="1" x14ac:dyDescent="0.3">
      <c r="B318" s="44" t="s">
        <v>70</v>
      </c>
      <c r="C318" s="45">
        <v>3</v>
      </c>
      <c r="D318" s="126" t="str">
        <f t="shared" si="26"/>
        <v xml:space="preserve"> 15 min</v>
      </c>
      <c r="E318" s="46" t="s">
        <v>163</v>
      </c>
      <c r="F318" s="246"/>
      <c r="G318" s="247"/>
      <c r="H318" s="152"/>
    </row>
    <row r="319" spans="2:8" s="43" customFormat="1" x14ac:dyDescent="0.3">
      <c r="B319" s="44" t="s">
        <v>52</v>
      </c>
      <c r="C319" s="45">
        <v>34</v>
      </c>
      <c r="D319" s="126" t="str">
        <f t="shared" si="26"/>
        <v>2h 50 min</v>
      </c>
      <c r="E319" s="46" t="s">
        <v>84</v>
      </c>
      <c r="F319" s="246"/>
      <c r="G319" s="247"/>
      <c r="H319" s="152"/>
    </row>
    <row r="320" spans="2:8" s="43" customFormat="1" x14ac:dyDescent="0.3">
      <c r="B320" s="44"/>
      <c r="C320" s="45"/>
      <c r="D320" s="127" t="str">
        <f t="shared" si="26"/>
        <v/>
      </c>
      <c r="E320" s="46"/>
      <c r="F320" s="246"/>
      <c r="G320" s="247"/>
      <c r="H320" s="152"/>
    </row>
    <row r="321" spans="2:8" s="43" customFormat="1" x14ac:dyDescent="0.3">
      <c r="B321" s="44"/>
      <c r="C321" s="45"/>
      <c r="D321" s="127" t="str">
        <f t="shared" si="26"/>
        <v/>
      </c>
      <c r="E321" s="46"/>
      <c r="F321" s="246"/>
      <c r="G321" s="247"/>
      <c r="H321" s="152"/>
    </row>
    <row r="322" spans="2:8" s="43" customFormat="1" x14ac:dyDescent="0.3">
      <c r="B322" s="44"/>
      <c r="C322" s="45"/>
      <c r="D322" s="127" t="str">
        <f t="shared" si="26"/>
        <v/>
      </c>
      <c r="E322" s="46"/>
      <c r="F322" s="246"/>
      <c r="G322" s="247"/>
      <c r="H322" s="152"/>
    </row>
    <row r="323" spans="2:8" s="43" customFormat="1" ht="15" thickBot="1" x14ac:dyDescent="0.35">
      <c r="B323" s="44"/>
      <c r="C323" s="47"/>
      <c r="D323" s="128" t="str">
        <f t="shared" si="26"/>
        <v/>
      </c>
      <c r="E323" s="48"/>
      <c r="F323" s="248"/>
      <c r="G323" s="249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0"/>
      <c r="G324" s="251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37" priority="27" operator="greaterThan">
      <formula>60</formula>
    </cfRule>
  </conditionalFormatting>
  <conditionalFormatting sqref="C312">
    <cfRule type="cellIs" dxfId="36" priority="26" operator="greaterThan">
      <formula>60</formula>
    </cfRule>
  </conditionalFormatting>
  <conditionalFormatting sqref="C300">
    <cfRule type="cellIs" dxfId="35" priority="25" operator="greaterThan">
      <formula>60</formula>
    </cfRule>
  </conditionalFormatting>
  <conditionalFormatting sqref="C288">
    <cfRule type="cellIs" dxfId="34" priority="24" operator="greaterThan">
      <formula>60</formula>
    </cfRule>
  </conditionalFormatting>
  <conditionalFormatting sqref="C276">
    <cfRule type="cellIs" dxfId="33" priority="23" operator="greaterThan">
      <formula>60</formula>
    </cfRule>
  </conditionalFormatting>
  <conditionalFormatting sqref="C264">
    <cfRule type="cellIs" dxfId="32" priority="22" operator="greaterThan">
      <formula>60</formula>
    </cfRule>
  </conditionalFormatting>
  <conditionalFormatting sqref="C252">
    <cfRule type="cellIs" dxfId="31" priority="21" operator="greaterThan">
      <formula>60</formula>
    </cfRule>
  </conditionalFormatting>
  <conditionalFormatting sqref="C240">
    <cfRule type="cellIs" dxfId="30" priority="20" operator="greaterThan">
      <formula>60</formula>
    </cfRule>
  </conditionalFormatting>
  <conditionalFormatting sqref="C228">
    <cfRule type="cellIs" dxfId="29" priority="19" operator="greaterThan">
      <formula>60</formula>
    </cfRule>
  </conditionalFormatting>
  <conditionalFormatting sqref="C216">
    <cfRule type="cellIs" dxfId="28" priority="18" operator="greaterThan">
      <formula>60</formula>
    </cfRule>
  </conditionalFormatting>
  <conditionalFormatting sqref="C204">
    <cfRule type="cellIs" dxfId="27" priority="17" operator="greaterThan">
      <formula>60</formula>
    </cfRule>
  </conditionalFormatting>
  <conditionalFormatting sqref="C192">
    <cfRule type="cellIs" dxfId="26" priority="16" operator="greaterThan">
      <formula>60</formula>
    </cfRule>
  </conditionalFormatting>
  <conditionalFormatting sqref="C180">
    <cfRule type="cellIs" dxfId="25" priority="15" operator="greaterThan">
      <formula>60</formula>
    </cfRule>
  </conditionalFormatting>
  <conditionalFormatting sqref="C168">
    <cfRule type="cellIs" dxfId="24" priority="14" operator="greaterThan">
      <formula>60</formula>
    </cfRule>
  </conditionalFormatting>
  <conditionalFormatting sqref="C156">
    <cfRule type="cellIs" dxfId="23" priority="13" operator="greaterThan">
      <formula>60</formula>
    </cfRule>
  </conditionalFormatting>
  <conditionalFormatting sqref="C144">
    <cfRule type="cellIs" dxfId="22" priority="12" operator="greaterThan">
      <formula>60</formula>
    </cfRule>
  </conditionalFormatting>
  <conditionalFormatting sqref="C132">
    <cfRule type="cellIs" dxfId="21" priority="11" operator="greaterThan">
      <formula>60</formula>
    </cfRule>
  </conditionalFormatting>
  <conditionalFormatting sqref="C120">
    <cfRule type="cellIs" dxfId="20" priority="10" operator="greaterThan">
      <formula>60</formula>
    </cfRule>
  </conditionalFormatting>
  <conditionalFormatting sqref="C108">
    <cfRule type="cellIs" dxfId="19" priority="9" operator="greaterThan">
      <formula>60</formula>
    </cfRule>
  </conditionalFormatting>
  <conditionalFormatting sqref="C96">
    <cfRule type="cellIs" dxfId="18" priority="8" operator="greaterThan">
      <formula>60</formula>
    </cfRule>
  </conditionalFormatting>
  <conditionalFormatting sqref="C84">
    <cfRule type="cellIs" dxfId="17" priority="7" operator="greaterThan">
      <formula>60</formula>
    </cfRule>
  </conditionalFormatting>
  <conditionalFormatting sqref="C72">
    <cfRule type="cellIs" dxfId="16" priority="6" operator="greaterThan">
      <formula>60</formula>
    </cfRule>
  </conditionalFormatting>
  <conditionalFormatting sqref="C60">
    <cfRule type="cellIs" dxfId="15" priority="5" operator="greaterThan">
      <formula>60</formula>
    </cfRule>
  </conditionalFormatting>
  <conditionalFormatting sqref="C48">
    <cfRule type="cellIs" dxfId="14" priority="4" operator="greaterThan">
      <formula>60</formula>
    </cfRule>
  </conditionalFormatting>
  <conditionalFormatting sqref="C36">
    <cfRule type="cellIs" dxfId="13" priority="3" operator="greaterThan">
      <formula>60</formula>
    </cfRule>
  </conditionalFormatting>
  <conditionalFormatting sqref="C24">
    <cfRule type="cellIs" dxfId="12" priority="2" operator="greaterThan">
      <formula>60</formula>
    </cfRule>
  </conditionalFormatting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1AAC5835-E387-4FE7-B196-DB7F061173B4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124:C131 C4:C11 C292:C299 C268:C275 C256:C263 C244:C251 C232:C239 C220:C227 C208:C215 C196:C203 C280:C287 C172:C179 C160:C167 C184:C191 C136:C143 C16:C23 C112:C119 C148:C155 C88:C95 C76:C83 C64:C71 C52:C59 C40:C47 C100:C107 C28:C35" xr:uid="{31832FEB-E27D-4895-A30A-B9CF0B54B54D}">
      <formula1>0</formula1>
    </dataValidation>
  </dataValidations>
  <printOptions horizontalCentered="1" verticalCentered="1"/>
  <pageMargins left="0.25" right="0.25" top="0.75" bottom="0.75" header="0.3" footer="0.3"/>
  <pageSetup paperSize="9" scale="74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F0206-0366-4F13-BD57-9F7BD62228D1}">
          <x14:formula1>
            <xm:f>OFFSET(Bilan!$B:$B,14,0,COUNTA(Bilan!$C$15:$C$93))</xm:f>
          </x14:formula1>
          <xm:sqref>B316:B323 B304:B311 B124:B131 B4:B11 B268:B275 B280:B287 B232:B239 B220:B227 B208:B215 B16:B23 B244:B251 B172:B179 B160:B167 B184:B191 B136:B143 B196:B203 B112:B119 B148:B155 B88:B95 B100:B107 B64:B71 B52:B59 B40:B47 B76:B83 B256:B263 B292:B299 B28:B35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9"/>
  <sheetViews>
    <sheetView showGridLines="0" tabSelected="1" zoomScale="115" zoomScaleNormal="115" zoomScaleSheetLayoutView="98" workbookViewId="0">
      <pane ySplit="1" topLeftCell="A2" activePane="bottomLeft" state="frozen"/>
      <selection pane="bottomLeft" activeCell="F5" sqref="F5:G5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9</v>
      </c>
      <c r="D2" s="137"/>
      <c r="E2" s="130" t="s">
        <v>58</v>
      </c>
      <c r="F2" s="131" t="s">
        <v>119</v>
      </c>
      <c r="G2" s="132" t="s">
        <v>79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58" t="s">
        <v>62</v>
      </c>
      <c r="G3" s="259"/>
      <c r="H3" s="151"/>
    </row>
    <row r="4" spans="2:8" s="43" customFormat="1" ht="40.5" x14ac:dyDescent="0.3">
      <c r="B4" s="40" t="s">
        <v>77</v>
      </c>
      <c r="C4" s="41">
        <v>5</v>
      </c>
      <c r="D4" s="125" t="str">
        <f xml:space="preserve"> IF(C4="","",setValueToTime(C4))</f>
        <v xml:space="preserve"> 25 min</v>
      </c>
      <c r="E4" s="42" t="s">
        <v>179</v>
      </c>
      <c r="F4" s="261"/>
      <c r="G4" s="255"/>
      <c r="H4" s="152"/>
    </row>
    <row r="5" spans="2:8" s="43" customFormat="1" ht="67.5" x14ac:dyDescent="0.3">
      <c r="B5" s="44" t="s">
        <v>103</v>
      </c>
      <c r="C5" s="45">
        <v>25</v>
      </c>
      <c r="D5" s="126" t="str">
        <f t="shared" ref="D5:D11" si="0" xml:space="preserve"> IF(C5="","",setValueToTime(C5))</f>
        <v>2h 5 min</v>
      </c>
      <c r="E5" s="46" t="s">
        <v>180</v>
      </c>
      <c r="F5" s="260" t="s">
        <v>181</v>
      </c>
      <c r="G5" s="247"/>
      <c r="H5" s="152"/>
    </row>
    <row r="6" spans="2:8" s="43" customFormat="1" x14ac:dyDescent="0.3">
      <c r="B6" s="44" t="s">
        <v>54</v>
      </c>
      <c r="C6" s="45">
        <v>7</v>
      </c>
      <c r="D6" s="126" t="str">
        <f t="shared" si="0"/>
        <v xml:space="preserve"> 35 min</v>
      </c>
      <c r="E6" s="46" t="s">
        <v>182</v>
      </c>
      <c r="F6" s="246"/>
      <c r="G6" s="247"/>
      <c r="H6" s="152"/>
    </row>
    <row r="7" spans="2:8" s="43" customFormat="1" ht="27" x14ac:dyDescent="0.3">
      <c r="B7" s="44" t="s">
        <v>53</v>
      </c>
      <c r="C7" s="45">
        <v>1</v>
      </c>
      <c r="D7" s="126" t="str">
        <f t="shared" si="0"/>
        <v xml:space="preserve"> 5 min</v>
      </c>
      <c r="E7" s="46" t="s">
        <v>86</v>
      </c>
      <c r="F7" s="246"/>
      <c r="G7" s="24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6"/>
      <c r="G10" s="247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8"/>
      <c r="G11" s="249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56"/>
      <c r="G12" s="25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8</v>
      </c>
      <c r="D14" s="137"/>
      <c r="E14" s="130" t="s">
        <v>58</v>
      </c>
      <c r="F14" s="131" t="s">
        <v>119</v>
      </c>
      <c r="G14" s="132" t="s">
        <v>78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58" t="s">
        <v>62</v>
      </c>
      <c r="G15" s="259"/>
      <c r="H15" s="151"/>
    </row>
    <row r="16" spans="2:8" s="43" customFormat="1" x14ac:dyDescent="0.3">
      <c r="B16" s="40" t="s">
        <v>54</v>
      </c>
      <c r="C16" s="41">
        <v>27</v>
      </c>
      <c r="D16" s="125" t="str">
        <f xml:space="preserve"> IF(C16="","",setValueToTime(C16))</f>
        <v>2h 15 min</v>
      </c>
      <c r="E16" s="42" t="s">
        <v>174</v>
      </c>
      <c r="F16" s="254"/>
      <c r="G16" s="255"/>
      <c r="H16" s="152"/>
    </row>
    <row r="17" spans="2:8" s="43" customFormat="1" ht="24" customHeight="1" x14ac:dyDescent="0.3">
      <c r="B17" s="44" t="s">
        <v>71</v>
      </c>
      <c r="C17" s="45">
        <v>20</v>
      </c>
      <c r="D17" s="126" t="str">
        <f t="shared" ref="D17:D23" si="1" xml:space="preserve"> IF(C17="","",setValueToTime(C17))</f>
        <v>1h 40 min</v>
      </c>
      <c r="E17" s="46" t="s">
        <v>178</v>
      </c>
      <c r="F17" s="260" t="s">
        <v>177</v>
      </c>
      <c r="G17" s="247"/>
      <c r="H17" s="152"/>
    </row>
    <row r="18" spans="2:8" s="43" customFormat="1" ht="27" x14ac:dyDescent="0.3">
      <c r="B18" s="44" t="s">
        <v>53</v>
      </c>
      <c r="C18" s="45">
        <v>1</v>
      </c>
      <c r="D18" s="126" t="str">
        <f t="shared" si="1"/>
        <v xml:space="preserve"> 5 min</v>
      </c>
      <c r="E18" s="46" t="s">
        <v>86</v>
      </c>
      <c r="F18" s="246"/>
      <c r="G18" s="247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6"/>
      <c r="G19" s="247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46"/>
      <c r="G20" s="247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46"/>
      <c r="G21" s="247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6"/>
      <c r="G22" s="247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8"/>
      <c r="G23" s="249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56"/>
      <c r="G24" s="25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7</v>
      </c>
      <c r="D26" s="137"/>
      <c r="E26" s="130" t="s">
        <v>58</v>
      </c>
      <c r="F26" s="131" t="s">
        <v>120</v>
      </c>
      <c r="G26" s="132" t="s">
        <v>79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58" t="s">
        <v>62</v>
      </c>
      <c r="G27" s="259"/>
      <c r="H27" s="151"/>
    </row>
    <row r="28" spans="2:8" s="43" customFormat="1" ht="27" x14ac:dyDescent="0.3">
      <c r="B28" s="40" t="s">
        <v>54</v>
      </c>
      <c r="C28" s="41">
        <v>10</v>
      </c>
      <c r="D28" s="125" t="str">
        <f xml:space="preserve"> IF(C28="","",setValueToTime(C28))</f>
        <v xml:space="preserve"> 50 min</v>
      </c>
      <c r="E28" s="42" t="s">
        <v>170</v>
      </c>
      <c r="F28" s="254"/>
      <c r="G28" s="255"/>
      <c r="H28" s="152"/>
    </row>
    <row r="29" spans="2:8" s="43" customFormat="1" ht="94.5" customHeight="1" x14ac:dyDescent="0.3">
      <c r="B29" s="44" t="s">
        <v>103</v>
      </c>
      <c r="C29" s="45">
        <v>24</v>
      </c>
      <c r="D29" s="126" t="str">
        <f t="shared" ref="D29:D35" si="2" xml:space="preserve"> IF(C29="","",setValueToTime(C29))</f>
        <v>2h</v>
      </c>
      <c r="E29" s="46" t="s">
        <v>171</v>
      </c>
      <c r="F29" s="260" t="s">
        <v>172</v>
      </c>
      <c r="G29" s="247"/>
      <c r="H29" s="152"/>
    </row>
    <row r="30" spans="2:8" s="43" customFormat="1" ht="27" x14ac:dyDescent="0.3">
      <c r="B30" s="44" t="s">
        <v>70</v>
      </c>
      <c r="C30" s="45">
        <v>3</v>
      </c>
      <c r="D30" s="126" t="str">
        <f t="shared" si="2"/>
        <v xml:space="preserve"> 15 min</v>
      </c>
      <c r="E30" s="46" t="s">
        <v>173</v>
      </c>
      <c r="F30" s="246"/>
      <c r="G30" s="247"/>
      <c r="H30" s="152"/>
    </row>
    <row r="31" spans="2:8" s="43" customFormat="1" ht="27" x14ac:dyDescent="0.3">
      <c r="B31" s="44" t="s">
        <v>53</v>
      </c>
      <c r="C31" s="45">
        <v>1</v>
      </c>
      <c r="D31" s="126" t="str">
        <f t="shared" si="2"/>
        <v xml:space="preserve"> 5 min</v>
      </c>
      <c r="E31" s="46" t="s">
        <v>86</v>
      </c>
      <c r="F31" s="246"/>
      <c r="G31" s="247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46"/>
      <c r="G32" s="247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6"/>
      <c r="G33" s="247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6"/>
      <c r="G34" s="247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8"/>
      <c r="G35" s="249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56"/>
      <c r="G36" s="25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6</v>
      </c>
      <c r="D38" s="137"/>
      <c r="E38" s="130" t="s">
        <v>58</v>
      </c>
      <c r="F38" s="131" t="s">
        <v>121</v>
      </c>
      <c r="G38" s="132" t="s">
        <v>79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58" t="s">
        <v>62</v>
      </c>
      <c r="G39" s="259"/>
      <c r="H39" s="151"/>
    </row>
    <row r="40" spans="2:8" s="43" customFormat="1" x14ac:dyDescent="0.3">
      <c r="B40" s="40" t="s">
        <v>54</v>
      </c>
      <c r="C40" s="41">
        <v>20</v>
      </c>
      <c r="D40" s="125" t="str">
        <f xml:space="preserve"> IF(C40="","",setValueToTime(C40))</f>
        <v>1h 40 min</v>
      </c>
      <c r="E40" s="42" t="s">
        <v>168</v>
      </c>
      <c r="F40" s="254"/>
      <c r="G40" s="255"/>
      <c r="H40" s="152"/>
    </row>
    <row r="41" spans="2:8" s="43" customFormat="1" ht="27" x14ac:dyDescent="0.3">
      <c r="B41" s="44" t="s">
        <v>52</v>
      </c>
      <c r="C41" s="45">
        <v>12</v>
      </c>
      <c r="D41" s="126" t="str">
        <f t="shared" ref="D41:D47" si="3" xml:space="preserve"> IF(C41="","",setValueToTime(C41))</f>
        <v>1h</v>
      </c>
      <c r="E41" s="46" t="s">
        <v>169</v>
      </c>
      <c r="F41" s="246"/>
      <c r="G41" s="247"/>
      <c r="H41" s="152"/>
    </row>
    <row r="42" spans="2:8" s="43" customFormat="1" ht="27" x14ac:dyDescent="0.3">
      <c r="B42" s="44" t="s">
        <v>81</v>
      </c>
      <c r="C42" s="45">
        <v>5</v>
      </c>
      <c r="D42" s="126" t="str">
        <f t="shared" si="3"/>
        <v xml:space="preserve"> 25 min</v>
      </c>
      <c r="E42" s="46" t="s">
        <v>165</v>
      </c>
      <c r="F42" s="246"/>
      <c r="G42" s="247"/>
      <c r="H42" s="152"/>
    </row>
    <row r="43" spans="2:8" s="43" customFormat="1" ht="27" x14ac:dyDescent="0.3">
      <c r="B43" s="44" t="s">
        <v>53</v>
      </c>
      <c r="C43" s="45">
        <v>1</v>
      </c>
      <c r="D43" s="126" t="str">
        <f t="shared" si="3"/>
        <v xml:space="preserve"> 5 min</v>
      </c>
      <c r="E43" s="46" t="s">
        <v>86</v>
      </c>
      <c r="F43" s="246"/>
      <c r="G43" s="247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46"/>
      <c r="G44" s="247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46"/>
      <c r="G45" s="247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46"/>
      <c r="G46" s="247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8"/>
      <c r="G47" s="249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56"/>
      <c r="G48" s="25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5</v>
      </c>
      <c r="D50" s="137"/>
      <c r="E50" s="130" t="s">
        <v>58</v>
      </c>
      <c r="F50" s="131" t="s">
        <v>121</v>
      </c>
      <c r="G50" s="132" t="s">
        <v>78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58" t="s">
        <v>62</v>
      </c>
      <c r="G51" s="259"/>
      <c r="H51" s="151"/>
    </row>
    <row r="52" spans="2:8" s="43" customFormat="1" ht="27" x14ac:dyDescent="0.3">
      <c r="B52" s="40" t="s">
        <v>54</v>
      </c>
      <c r="C52" s="41">
        <v>25</v>
      </c>
      <c r="D52" s="125" t="str">
        <f xml:space="preserve"> IF(C52="","",setValueToTime(C52))</f>
        <v>2h 5 min</v>
      </c>
      <c r="E52" s="42" t="s">
        <v>164</v>
      </c>
      <c r="F52" s="254"/>
      <c r="G52" s="255"/>
      <c r="H52" s="152"/>
    </row>
    <row r="53" spans="2:8" s="43" customFormat="1" ht="27" x14ac:dyDescent="0.3">
      <c r="B53" s="44" t="s">
        <v>81</v>
      </c>
      <c r="C53" s="45">
        <v>13</v>
      </c>
      <c r="D53" s="126" t="str">
        <f t="shared" ref="D53:D59" si="4" xml:space="preserve"> IF(C53="","",setValueToTime(C53))</f>
        <v>1h 5 min</v>
      </c>
      <c r="E53" s="46" t="s">
        <v>165</v>
      </c>
      <c r="F53" s="246"/>
      <c r="G53" s="247"/>
      <c r="H53" s="152"/>
    </row>
    <row r="54" spans="2:8" s="43" customFormat="1" x14ac:dyDescent="0.3">
      <c r="B54" s="44" t="s">
        <v>71</v>
      </c>
      <c r="C54" s="45">
        <v>9</v>
      </c>
      <c r="D54" s="126" t="str">
        <f t="shared" si="4"/>
        <v xml:space="preserve"> 45 min</v>
      </c>
      <c r="E54" s="46" t="s">
        <v>166</v>
      </c>
      <c r="F54" s="260" t="s">
        <v>167</v>
      </c>
      <c r="G54" s="247"/>
      <c r="H54" s="152"/>
    </row>
    <row r="55" spans="2:8" s="43" customFormat="1" ht="27" x14ac:dyDescent="0.3">
      <c r="B55" s="44" t="s">
        <v>53</v>
      </c>
      <c r="C55" s="45">
        <v>1</v>
      </c>
      <c r="D55" s="126" t="str">
        <f t="shared" si="4"/>
        <v xml:space="preserve"> 5 min</v>
      </c>
      <c r="E55" s="46" t="s">
        <v>86</v>
      </c>
      <c r="F55" s="246"/>
      <c r="G55" s="247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46"/>
      <c r="G56" s="247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46"/>
      <c r="G57" s="247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46"/>
      <c r="G58" s="247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8"/>
      <c r="G59" s="249"/>
      <c r="H59" s="152"/>
    </row>
    <row r="60" spans="2:8" s="43" customFormat="1" ht="15" thickBot="1" x14ac:dyDescent="0.35">
      <c r="B60" s="135" t="s">
        <v>64</v>
      </c>
      <c r="C60" s="66">
        <f>SUM(C52:C59)</f>
        <v>48</v>
      </c>
      <c r="D60" s="135" t="str">
        <f xml:space="preserve"> setValueToTime(C60)</f>
        <v>4h</v>
      </c>
      <c r="E60" s="96"/>
      <c r="F60" s="256"/>
      <c r="G60" s="257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4</v>
      </c>
      <c r="D62" s="137"/>
      <c r="E62" s="130" t="s">
        <v>58</v>
      </c>
      <c r="F62" s="131" t="s">
        <v>122</v>
      </c>
      <c r="G62" s="132" t="s">
        <v>79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58" t="s">
        <v>62</v>
      </c>
      <c r="G63" s="259"/>
      <c r="H63" s="151"/>
    </row>
    <row r="64" spans="2:8" s="43" customFormat="1" ht="27" x14ac:dyDescent="0.3">
      <c r="B64" s="40" t="s">
        <v>70</v>
      </c>
      <c r="C64" s="41">
        <v>6</v>
      </c>
      <c r="D64" s="125" t="str">
        <f xml:space="preserve"> IF(C64="","",setValueToTime(C64))</f>
        <v xml:space="preserve"> 30 min</v>
      </c>
      <c r="E64" s="207" t="s">
        <v>161</v>
      </c>
      <c r="F64" s="254"/>
      <c r="G64" s="255"/>
      <c r="H64" s="152"/>
    </row>
    <row r="65" spans="2:8" s="43" customFormat="1" ht="27" x14ac:dyDescent="0.3">
      <c r="B65" s="44" t="s">
        <v>52</v>
      </c>
      <c r="C65" s="45">
        <v>13</v>
      </c>
      <c r="D65" s="126" t="str">
        <f t="shared" ref="D65:D71" si="5" xml:space="preserve"> IF(C65="","",setValueToTime(C65))</f>
        <v>1h 5 min</v>
      </c>
      <c r="E65" s="206" t="s">
        <v>158</v>
      </c>
      <c r="F65" s="246"/>
      <c r="G65" s="247"/>
      <c r="H65" s="152"/>
    </row>
    <row r="66" spans="2:8" s="43" customFormat="1" ht="54" x14ac:dyDescent="0.3">
      <c r="B66" s="44" t="s">
        <v>80</v>
      </c>
      <c r="C66" s="45">
        <v>10</v>
      </c>
      <c r="D66" s="126" t="str">
        <f t="shared" si="5"/>
        <v xml:space="preserve"> 50 min</v>
      </c>
      <c r="E66" s="201" t="s">
        <v>162</v>
      </c>
      <c r="F66" s="246"/>
      <c r="G66" s="247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46"/>
      <c r="G67" s="247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46"/>
      <c r="G68" s="247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46"/>
      <c r="G69" s="247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46"/>
      <c r="G70" s="247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8"/>
      <c r="G71" s="249"/>
      <c r="H71" s="152"/>
    </row>
    <row r="72" spans="2:8" s="43" customFormat="1" ht="15" thickBot="1" x14ac:dyDescent="0.35">
      <c r="B72" s="135" t="s">
        <v>64</v>
      </c>
      <c r="C72" s="66">
        <f>SUM(C64:C71)</f>
        <v>29</v>
      </c>
      <c r="D72" s="135" t="str">
        <f xml:space="preserve"> setValueToTime(C72)</f>
        <v>2h 25 min</v>
      </c>
      <c r="E72" s="96"/>
      <c r="F72" s="256"/>
      <c r="G72" s="257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3</v>
      </c>
      <c r="D74" s="137"/>
      <c r="E74" s="130" t="s">
        <v>58</v>
      </c>
      <c r="F74" s="131" t="s">
        <v>122</v>
      </c>
      <c r="G74" s="132" t="s">
        <v>78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58" t="s">
        <v>62</v>
      </c>
      <c r="G75" s="259"/>
      <c r="H75" s="151"/>
    </row>
    <row r="76" spans="2:8" s="43" customFormat="1" ht="27" x14ac:dyDescent="0.3">
      <c r="B76" s="40" t="s">
        <v>52</v>
      </c>
      <c r="C76" s="41">
        <v>8</v>
      </c>
      <c r="D76" s="125" t="str">
        <f xml:space="preserve"> IF(C76="","",setValueToTime(C76))</f>
        <v xml:space="preserve"> 40 min</v>
      </c>
      <c r="E76" s="42" t="s">
        <v>147</v>
      </c>
      <c r="F76" s="254"/>
      <c r="G76" s="255"/>
      <c r="H76" s="152"/>
    </row>
    <row r="77" spans="2:8" s="43" customFormat="1" x14ac:dyDescent="0.3">
      <c r="B77" s="44" t="s">
        <v>88</v>
      </c>
      <c r="C77" s="45">
        <v>8</v>
      </c>
      <c r="D77" s="126" t="str">
        <f t="shared" ref="D77:D83" si="6" xml:space="preserve"> IF(C77="","",setValueToTime(C77))</f>
        <v xml:space="preserve"> 40 min</v>
      </c>
      <c r="E77" s="46" t="s">
        <v>148</v>
      </c>
      <c r="F77" s="246"/>
      <c r="G77" s="247"/>
      <c r="H77" s="152"/>
    </row>
    <row r="78" spans="2:8" s="43" customFormat="1" ht="27" x14ac:dyDescent="0.3">
      <c r="B78" s="44" t="s">
        <v>96</v>
      </c>
      <c r="C78" s="45">
        <v>5</v>
      </c>
      <c r="D78" s="126" t="str">
        <f t="shared" si="6"/>
        <v xml:space="preserve"> 25 min</v>
      </c>
      <c r="E78" s="201" t="s">
        <v>159</v>
      </c>
      <c r="F78" s="246"/>
      <c r="G78" s="247"/>
      <c r="H78" s="152"/>
    </row>
    <row r="79" spans="2:8" s="43" customFormat="1" x14ac:dyDescent="0.3">
      <c r="B79" s="44" t="s">
        <v>54</v>
      </c>
      <c r="C79" s="45">
        <v>16</v>
      </c>
      <c r="D79" s="126" t="str">
        <f t="shared" si="6"/>
        <v>1h 20 min</v>
      </c>
      <c r="E79" s="201" t="s">
        <v>160</v>
      </c>
      <c r="F79" s="246"/>
      <c r="G79" s="247"/>
      <c r="H79" s="152"/>
    </row>
    <row r="80" spans="2:8" s="43" customFormat="1" ht="27" x14ac:dyDescent="0.3">
      <c r="B80" s="45" t="s">
        <v>53</v>
      </c>
      <c r="C80" s="45">
        <v>1</v>
      </c>
      <c r="D80" s="127" t="str">
        <f t="shared" si="6"/>
        <v xml:space="preserve"> 5 min</v>
      </c>
      <c r="E80" s="46" t="s">
        <v>86</v>
      </c>
      <c r="F80" s="246"/>
      <c r="G80" s="247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46"/>
      <c r="G81" s="247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46"/>
      <c r="G82" s="247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8"/>
      <c r="G83" s="249"/>
      <c r="H83" s="152"/>
    </row>
    <row r="84" spans="2:8" s="43" customFormat="1" ht="15" thickBot="1" x14ac:dyDescent="0.35">
      <c r="B84" s="135" t="s">
        <v>64</v>
      </c>
      <c r="C84" s="66">
        <f>SUM(C76:C83)</f>
        <v>38</v>
      </c>
      <c r="D84" s="135" t="str">
        <f xml:space="preserve"> setValueToTime(C84)</f>
        <v>3h 10 min</v>
      </c>
      <c r="E84" s="96"/>
      <c r="F84" s="256"/>
      <c r="G84" s="257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2</v>
      </c>
      <c r="D86" s="137"/>
      <c r="E86" s="130" t="s">
        <v>58</v>
      </c>
      <c r="F86" s="131" t="s">
        <v>123</v>
      </c>
      <c r="G86" s="132" t="s">
        <v>79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58" t="s">
        <v>62</v>
      </c>
      <c r="G87" s="259"/>
      <c r="H87" s="151"/>
    </row>
    <row r="88" spans="2:8" s="43" customFormat="1" ht="27" x14ac:dyDescent="0.3">
      <c r="B88" s="40" t="s">
        <v>96</v>
      </c>
      <c r="C88" s="41">
        <v>5</v>
      </c>
      <c r="D88" s="125" t="str">
        <f xml:space="preserve"> IF(C88="","",setValueToTime(C88))</f>
        <v xml:space="preserve"> 25 min</v>
      </c>
      <c r="E88" s="46" t="s">
        <v>98</v>
      </c>
      <c r="F88" s="254"/>
      <c r="G88" s="255"/>
      <c r="H88" s="152"/>
    </row>
    <row r="89" spans="2:8" s="43" customFormat="1" ht="27" x14ac:dyDescent="0.3">
      <c r="B89" s="44" t="s">
        <v>52</v>
      </c>
      <c r="C89" s="45">
        <v>33</v>
      </c>
      <c r="D89" s="126" t="str">
        <f t="shared" ref="D89:D95" si="7" xml:space="preserve"> IF(C89="","",setValueToTime(C89))</f>
        <v>2h 45 min</v>
      </c>
      <c r="E89" s="46" t="s">
        <v>84</v>
      </c>
      <c r="F89" s="246"/>
      <c r="G89" s="247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46"/>
      <c r="G90" s="247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6"/>
      <c r="G91" s="247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46"/>
      <c r="G92" s="247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46"/>
      <c r="G93" s="247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46"/>
      <c r="G94" s="247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8"/>
      <c r="G95" s="249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56"/>
      <c r="G96" s="257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1</v>
      </c>
      <c r="D98" s="137"/>
      <c r="E98" s="130" t="s">
        <v>58</v>
      </c>
      <c r="F98" s="131" t="s">
        <v>123</v>
      </c>
      <c r="G98" s="132" t="s">
        <v>78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58" t="s">
        <v>62</v>
      </c>
      <c r="G99" s="259"/>
      <c r="H99" s="151"/>
    </row>
    <row r="100" spans="2:8" s="43" customFormat="1" x14ac:dyDescent="0.3">
      <c r="B100" s="40" t="s">
        <v>69</v>
      </c>
      <c r="C100" s="41">
        <v>6</v>
      </c>
      <c r="D100" s="125" t="str">
        <f xml:space="preserve"> IF(C100="","",setValueToTime(C100))</f>
        <v xml:space="preserve"> 30 min</v>
      </c>
      <c r="E100" s="42" t="s">
        <v>83</v>
      </c>
      <c r="F100" s="254"/>
      <c r="G100" s="255"/>
      <c r="H100" s="152"/>
    </row>
    <row r="101" spans="2:8" s="43" customFormat="1" ht="27" x14ac:dyDescent="0.3">
      <c r="B101" s="44" t="s">
        <v>96</v>
      </c>
      <c r="C101" s="45">
        <v>5</v>
      </c>
      <c r="D101" s="126" t="str">
        <f t="shared" ref="D101:D107" si="8" xml:space="preserve"> IF(C101="","",setValueToTime(C101))</f>
        <v xml:space="preserve"> 25 min</v>
      </c>
      <c r="E101" s="46" t="s">
        <v>97</v>
      </c>
      <c r="F101" s="246"/>
      <c r="G101" s="247"/>
      <c r="H101" s="152"/>
    </row>
    <row r="102" spans="2:8" s="43" customFormat="1" ht="27" x14ac:dyDescent="0.3">
      <c r="B102" s="44" t="s">
        <v>70</v>
      </c>
      <c r="C102" s="45">
        <v>3</v>
      </c>
      <c r="D102" s="126" t="str">
        <f t="shared" si="8"/>
        <v xml:space="preserve"> 15 min</v>
      </c>
      <c r="E102" s="46" t="s">
        <v>163</v>
      </c>
      <c r="F102" s="246"/>
      <c r="G102" s="247"/>
      <c r="H102" s="152"/>
    </row>
    <row r="103" spans="2:8" s="43" customFormat="1" ht="27" x14ac:dyDescent="0.3">
      <c r="B103" s="44" t="s">
        <v>52</v>
      </c>
      <c r="C103" s="45">
        <v>34</v>
      </c>
      <c r="D103" s="126" t="str">
        <f t="shared" si="8"/>
        <v>2h 50 min</v>
      </c>
      <c r="E103" s="46" t="s">
        <v>84</v>
      </c>
      <c r="F103" s="246"/>
      <c r="G103" s="247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46"/>
      <c r="G104" s="247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46"/>
      <c r="G105" s="247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46"/>
      <c r="G106" s="247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8"/>
      <c r="G107" s="249"/>
      <c r="H107" s="152"/>
    </row>
    <row r="108" spans="2:8" s="43" customFormat="1" ht="15" thickBot="1" x14ac:dyDescent="0.35">
      <c r="B108" s="135" t="s">
        <v>64</v>
      </c>
      <c r="C108" s="66">
        <f>SUM(C100:C107)</f>
        <v>48</v>
      </c>
      <c r="D108" s="135" t="str">
        <f xml:space="preserve"> setValueToTime(C108)</f>
        <v>4h</v>
      </c>
      <c r="E108" s="96"/>
      <c r="F108" s="256"/>
      <c r="G108" s="257"/>
      <c r="H108" s="152"/>
    </row>
    <row r="109" spans="2:8" s="43" customFormat="1" x14ac:dyDescent="0.3">
      <c r="B109" s="60"/>
      <c r="C109" s="60"/>
      <c r="D109" s="60"/>
      <c r="E109" s="60"/>
      <c r="F109" s="60"/>
      <c r="G109" s="60"/>
      <c r="H109" s="152"/>
    </row>
  </sheetData>
  <sheetProtection formatRows="0" insertRows="0" insertHyperlinks="0" deleteRows="0" selectLockedCells="1"/>
  <mergeCells count="9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94:G94"/>
    <mergeCell ref="F95:G95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93:G93"/>
    <mergeCell ref="F105:G105"/>
    <mergeCell ref="F106:G106"/>
    <mergeCell ref="F107:G107"/>
    <mergeCell ref="F108:G108"/>
    <mergeCell ref="F87:G87"/>
    <mergeCell ref="F88:G88"/>
    <mergeCell ref="F89:G89"/>
    <mergeCell ref="F90:G90"/>
    <mergeCell ref="F91:G91"/>
    <mergeCell ref="F92:G92"/>
    <mergeCell ref="F99:G99"/>
    <mergeCell ref="F100:G100"/>
    <mergeCell ref="F101:G101"/>
    <mergeCell ref="F102:G102"/>
    <mergeCell ref="F103:G103"/>
    <mergeCell ref="F104:G10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</mergeCells>
  <phoneticPr fontId="0" type="noConversion"/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76:C83 C100:C107 C88:C95 C64:C71 C52:C59 C40:C47 C28:C35 C16:C23 C4:C11" xr:uid="{BC506D4A-9D86-4037-91E6-0586A0540C9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8 C96 C84 C72 C60 C48 C36 C24 C12" xr:uid="{C90B1390-C336-4677-B8FF-E759F3A36E3B}">
      <formula1>0</formula1>
      <formula2>60</formula2>
    </dataValidation>
  </dataValidations>
  <hyperlinks>
    <hyperlink ref="F54" r:id="rId1" xr:uid="{200234E3-C42A-4B3C-91DC-2899E7326B2E}"/>
    <hyperlink ref="F29" r:id="rId2" display="https://www.instructables.com/ESP32-With-Integrated-OLED-WEMOSLolin-Getting-Star/" xr:uid="{45763836-7AE2-48A2-990D-7E0028550D1E}"/>
    <hyperlink ref="F17" r:id="rId3" display="https://www.youtube.com/watch?v=hr_6_xS2SZ4" xr:uid="{E72B197D-7435-47CF-97AF-050267F5FF81}"/>
    <hyperlink ref="F5" r:id="rId4" display="https://www.electronicwings.com/esp32/soil-moisture-sensor-interfacing-with-esp32" xr:uid="{B19AAD97-FD6B-4452-9FCD-3F5430239F67}"/>
  </hyperlinks>
  <printOptions horizontalCentered="1" verticalCentered="1"/>
  <pageMargins left="0.25" right="0.25" top="0.75" bottom="0.75" header="0.3" footer="0.3"/>
  <pageSetup paperSize="9" fitToHeight="0" orientation="landscape" r:id="rId5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6"/>
  <legacyDrawing r:id="rId7"/>
  <controls>
    <mc:AlternateContent xmlns:mc="http://schemas.openxmlformats.org/markup-compatibility/2006">
      <mc:Choice Requires="x14">
        <control shapeId="9224" r:id="rId8" name="btnRapatriementJournal">
          <controlPr defaultSize="0" autoLine="0" r:id="rId9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8" name="btnRapatriementJournal"/>
      </mc:Fallback>
    </mc:AlternateContent>
    <mc:AlternateContent xmlns:mc="http://schemas.openxmlformats.org/markup-compatibility/2006">
      <mc:Choice Requires="x14">
        <control shapeId="9220" r:id="rId10" name="btnAjoutSeqJournal">
          <controlPr defaultSize="0" autoLine="0" r:id="rId11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0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E996FB-7D08-4B75-9E97-C3607063B03E}">
          <x14:formula1>
            <xm:f>OFFSET(Bilan!$B:$B,14,0,COUNTA(Bilan!$C$15:$C$93))</xm:f>
          </x14:formula1>
          <xm:sqref>B76:B83 B100:B107 B88:B95 B64:B71 B56:B59 B40:B41 B44:B47 B28:B30 B32:B35 B19:B23 B16:B17 B4:B6 B8:B11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73"/>
    </row>
    <row r="11" spans="1:61" ht="18" x14ac:dyDescent="0.25">
      <c r="A11" s="236"/>
      <c r="B11" s="236"/>
      <c r="C11" s="236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73"/>
    </row>
    <row r="12" spans="1:61" ht="18.75" thickBot="1" x14ac:dyDescent="0.3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73"/>
    </row>
    <row r="13" spans="1:61" ht="18.75" thickBot="1" x14ac:dyDescent="0.3">
      <c r="A13" s="232" t="s">
        <v>57</v>
      </c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4"/>
      <c r="BI13" s="73"/>
    </row>
    <row r="14" spans="1:61" ht="15.75" thickBot="1" x14ac:dyDescent="0.35">
      <c r="A14" s="81"/>
      <c r="B14" s="82"/>
      <c r="C14" s="82"/>
      <c r="D14" s="82"/>
      <c r="E14" s="223" t="s">
        <v>41</v>
      </c>
      <c r="F14" s="223"/>
      <c r="G14" s="223"/>
      <c r="H14" s="223"/>
      <c r="I14" s="82"/>
      <c r="J14" s="82"/>
      <c r="K14" s="224" t="s">
        <v>42</v>
      </c>
      <c r="L14" s="224"/>
      <c r="M14" s="224"/>
      <c r="N14" s="224"/>
      <c r="O14" s="102"/>
      <c r="P14" s="102"/>
      <c r="Q14" s="223" t="s">
        <v>43</v>
      </c>
      <c r="R14" s="223"/>
      <c r="S14" s="223"/>
      <c r="T14" s="223"/>
      <c r="U14" s="82"/>
      <c r="V14" s="82"/>
      <c r="W14" s="224" t="s">
        <v>44</v>
      </c>
      <c r="X14" s="224"/>
      <c r="Y14" s="224"/>
      <c r="Z14" s="224"/>
      <c r="AA14" s="102"/>
      <c r="AB14" s="102"/>
      <c r="AC14" s="223" t="s">
        <v>45</v>
      </c>
      <c r="AD14" s="223"/>
      <c r="AE14" s="223"/>
      <c r="AF14" s="223"/>
      <c r="AG14" s="82"/>
      <c r="AH14" s="82"/>
      <c r="AI14" s="224" t="s">
        <v>46</v>
      </c>
      <c r="AJ14" s="224"/>
      <c r="AK14" s="224"/>
      <c r="AL14" s="224"/>
      <c r="AM14" s="102"/>
      <c r="AN14" s="102"/>
      <c r="AO14" s="223" t="s">
        <v>47</v>
      </c>
      <c r="AP14" s="223"/>
      <c r="AQ14" s="223"/>
      <c r="AR14" s="223"/>
      <c r="AS14" s="82"/>
      <c r="AT14" s="82"/>
      <c r="AU14" s="224" t="s">
        <v>48</v>
      </c>
      <c r="AV14" s="224"/>
      <c r="AW14" s="224"/>
      <c r="AX14" s="224"/>
      <c r="AY14" s="102"/>
      <c r="AZ14" s="102"/>
      <c r="BA14" s="223" t="s">
        <v>49</v>
      </c>
      <c r="BB14" s="223"/>
      <c r="BC14" s="223"/>
      <c r="BD14" s="223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2" t="s">
        <v>62</v>
      </c>
      <c r="G2" s="253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4"/>
      <c r="G3" s="25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6"/>
      <c r="G4" s="24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6"/>
      <c r="G5" s="24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6"/>
      <c r="G6" s="24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46"/>
      <c r="G7" s="24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8"/>
      <c r="G10" s="249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0"/>
      <c r="G11" s="25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58" t="s">
        <v>62</v>
      </c>
      <c r="G2" s="25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4"/>
      <c r="G3" s="25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6"/>
      <c r="G4" s="24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6"/>
      <c r="G5" s="24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6"/>
      <c r="G6" s="24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46"/>
      <c r="G7" s="24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6"/>
      <c r="G8" s="24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6"/>
      <c r="G9" s="24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8"/>
      <c r="G10" s="249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56"/>
      <c r="G11" s="25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766e0ef3-9166-4cc7-bffc-e6afe7b523a0"/>
    <ds:schemaRef ds:uri="http://purl.org/dc/terms/"/>
    <ds:schemaRef ds:uri="http://schemas.openxmlformats.org/package/2006/metadata/core-properties"/>
    <ds:schemaRef ds:uri="7f910b7e-5659-40b0-877b-7416054d0d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Mefail Sulejmani</cp:lastModifiedBy>
  <cp:revision/>
  <cp:lastPrinted>2025-05-09T14:28:57Z</cp:lastPrinted>
  <dcterms:created xsi:type="dcterms:W3CDTF">1996-10-21T11:03:58Z</dcterms:created>
  <dcterms:modified xsi:type="dcterms:W3CDTF">2025-05-09T14:28:59Z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