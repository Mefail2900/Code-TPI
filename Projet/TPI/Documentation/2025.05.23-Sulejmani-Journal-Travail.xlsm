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https://eduvaud-my.sharepoint.com/personal/ph30mol_eduvaud_ch/Documents/TPI/"/>
    </mc:Choice>
  </mc:AlternateContent>
  <xr:revisionPtr revIDLastSave="1" documentId="13_ncr:1_{EB4D23DA-5FCB-4777-AAD2-5B8FBE258A58}" xr6:coauthVersionLast="47" xr6:coauthVersionMax="47" xr10:uidLastSave="{D5267145-21F3-47C2-A4FA-28F4B9096AB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2">Planning!$B$2:$G$325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C24" i="12"/>
  <c r="D23" i="12"/>
  <c r="D22" i="12"/>
  <c r="D21" i="12"/>
  <c r="C36" i="12"/>
  <c r="D35" i="12"/>
  <c r="D34" i="12"/>
  <c r="D33" i="12"/>
  <c r="C48" i="12"/>
  <c r="D47" i="12"/>
  <c r="D46" i="12"/>
  <c r="D45" i="12"/>
  <c r="D44" i="12"/>
  <c r="C60" i="12"/>
  <c r="D59" i="12"/>
  <c r="D58" i="12"/>
  <c r="D57" i="12"/>
  <c r="D56" i="12"/>
  <c r="C72" i="12"/>
  <c r="D71" i="12"/>
  <c r="D70" i="12"/>
  <c r="D69" i="12"/>
  <c r="D68" i="12"/>
  <c r="C84" i="12"/>
  <c r="D83" i="12"/>
  <c r="D82" i="12"/>
  <c r="D81" i="12"/>
  <c r="D80" i="12"/>
  <c r="D79" i="12"/>
  <c r="C96" i="12"/>
  <c r="D95" i="12"/>
  <c r="D94" i="12"/>
  <c r="D93" i="12"/>
  <c r="D92" i="12"/>
  <c r="C108" i="12"/>
  <c r="D107" i="12"/>
  <c r="D106" i="12"/>
  <c r="D105" i="12"/>
  <c r="D104" i="12"/>
  <c r="C120" i="12"/>
  <c r="D119" i="12"/>
  <c r="D118" i="12"/>
  <c r="D117" i="12"/>
  <c r="C132" i="12"/>
  <c r="D131" i="12"/>
  <c r="D130" i="12"/>
  <c r="D129" i="12"/>
  <c r="D128" i="12"/>
  <c r="C144" i="12"/>
  <c r="D143" i="12"/>
  <c r="D142" i="12"/>
  <c r="D141" i="12"/>
  <c r="D140" i="12"/>
  <c r="D139" i="12"/>
  <c r="C156" i="12"/>
  <c r="D155" i="12"/>
  <c r="D154" i="12"/>
  <c r="D153" i="12"/>
  <c r="D152" i="12"/>
  <c r="D151" i="12"/>
  <c r="C168" i="12"/>
  <c r="D167" i="12"/>
  <c r="D166" i="12"/>
  <c r="D165" i="12"/>
  <c r="C180" i="12"/>
  <c r="D179" i="12"/>
  <c r="D178" i="12"/>
  <c r="D177" i="12"/>
  <c r="D176" i="12"/>
  <c r="C192" i="12"/>
  <c r="D191" i="12"/>
  <c r="D190" i="12"/>
  <c r="D189" i="12"/>
  <c r="D188" i="12"/>
  <c r="D187" i="12"/>
  <c r="C204" i="12"/>
  <c r="D203" i="12"/>
  <c r="D202" i="12"/>
  <c r="D201" i="12"/>
  <c r="D200" i="12"/>
  <c r="C216" i="12"/>
  <c r="D215" i="12"/>
  <c r="D214" i="12"/>
  <c r="D213" i="12"/>
  <c r="D212" i="12"/>
  <c r="C228" i="12"/>
  <c r="D227" i="12"/>
  <c r="D226" i="12"/>
  <c r="D225" i="12"/>
  <c r="D224" i="12"/>
  <c r="C240" i="12"/>
  <c r="D239" i="12"/>
  <c r="D238" i="12"/>
  <c r="D237" i="12"/>
  <c r="D236" i="12"/>
  <c r="D235" i="12"/>
  <c r="C252" i="12"/>
  <c r="D251" i="12"/>
  <c r="D250" i="12"/>
  <c r="D249" i="12"/>
  <c r="C264" i="12"/>
  <c r="D263" i="12"/>
  <c r="D262" i="12"/>
  <c r="D261" i="12"/>
  <c r="D260" i="12"/>
  <c r="D259" i="12"/>
  <c r="D258" i="12"/>
  <c r="C276" i="12"/>
  <c r="D275" i="12"/>
  <c r="D274" i="12"/>
  <c r="D273" i="12"/>
  <c r="D272" i="12"/>
  <c r="C12" i="10"/>
  <c r="D10" i="10"/>
  <c r="D9" i="10"/>
  <c r="D8" i="10"/>
  <c r="D7" i="10"/>
  <c r="C24" i="10"/>
  <c r="D22" i="10"/>
  <c r="D21" i="10"/>
  <c r="D20" i="10"/>
  <c r="D19" i="10"/>
  <c r="D18" i="10"/>
  <c r="C36" i="10"/>
  <c r="D34" i="10"/>
  <c r="D33" i="10"/>
  <c r="D32" i="10"/>
  <c r="D31" i="10"/>
  <c r="D30" i="10"/>
  <c r="C48" i="10"/>
  <c r="D46" i="10"/>
  <c r="D45" i="10"/>
  <c r="D44" i="10"/>
  <c r="D43" i="10"/>
  <c r="D42" i="10"/>
  <c r="D41" i="10"/>
  <c r="C60" i="10"/>
  <c r="D58" i="10"/>
  <c r="D57" i="10"/>
  <c r="D56" i="10"/>
  <c r="D55" i="10"/>
  <c r="D54" i="10"/>
  <c r="C72" i="10"/>
  <c r="D70" i="10"/>
  <c r="D69" i="10"/>
  <c r="D68" i="10"/>
  <c r="D67" i="10"/>
  <c r="D66" i="10"/>
  <c r="C84" i="10"/>
  <c r="D82" i="10"/>
  <c r="D81" i="10"/>
  <c r="D80" i="10"/>
  <c r="D79" i="10"/>
  <c r="D78" i="10"/>
  <c r="C96" i="10"/>
  <c r="D94" i="10"/>
  <c r="D93" i="10"/>
  <c r="D92" i="10"/>
  <c r="D91" i="10"/>
  <c r="D90" i="10"/>
  <c r="C108" i="10"/>
  <c r="D106" i="10"/>
  <c r="D105" i="10"/>
  <c r="D104" i="10"/>
  <c r="D103" i="10"/>
  <c r="D102" i="10"/>
  <c r="C120" i="10"/>
  <c r="D118" i="10"/>
  <c r="D117" i="10"/>
  <c r="D116" i="10"/>
  <c r="D115" i="10"/>
  <c r="D114" i="10"/>
  <c r="C132" i="10"/>
  <c r="D130" i="10"/>
  <c r="D129" i="10"/>
  <c r="D128" i="10"/>
  <c r="D127" i="10"/>
  <c r="D126" i="10"/>
  <c r="C144" i="10"/>
  <c r="D142" i="10"/>
  <c r="D141" i="10"/>
  <c r="D140" i="10"/>
  <c r="D139" i="10"/>
  <c r="D138" i="10"/>
  <c r="C156" i="10"/>
  <c r="D154" i="10"/>
  <c r="D153" i="10"/>
  <c r="C168" i="10"/>
  <c r="D166" i="10"/>
  <c r="D165" i="10"/>
  <c r="D164" i="10"/>
  <c r="D163" i="10"/>
  <c r="D162" i="10"/>
  <c r="C180" i="10"/>
  <c r="D178" i="10"/>
  <c r="D177" i="10"/>
  <c r="D176" i="10"/>
  <c r="D175" i="10"/>
  <c r="D174" i="10"/>
  <c r="C192" i="10"/>
  <c r="D190" i="10"/>
  <c r="D189" i="10"/>
  <c r="D188" i="10"/>
  <c r="D187" i="10"/>
  <c r="C204" i="10"/>
  <c r="D202" i="10"/>
  <c r="D201" i="10"/>
  <c r="D200" i="10"/>
  <c r="D199" i="10"/>
  <c r="D198" i="10"/>
  <c r="C216" i="10"/>
  <c r="D214" i="10"/>
  <c r="D213" i="10"/>
  <c r="D212" i="10"/>
  <c r="D211" i="10"/>
  <c r="D210" i="10"/>
  <c r="C228" i="10"/>
  <c r="D226" i="10"/>
  <c r="D225" i="10"/>
  <c r="D224" i="10"/>
  <c r="D223" i="10"/>
  <c r="D222" i="10"/>
  <c r="C240" i="10"/>
  <c r="D238" i="10"/>
  <c r="D237" i="10"/>
  <c r="D236" i="10"/>
  <c r="D235" i="10"/>
  <c r="C252" i="10"/>
  <c r="D250" i="10"/>
  <c r="D249" i="10"/>
  <c r="D248" i="10"/>
  <c r="D247" i="10"/>
  <c r="C264" i="10"/>
  <c r="D262" i="10"/>
  <c r="D261" i="10"/>
  <c r="D260" i="10"/>
  <c r="D259" i="10"/>
  <c r="C276" i="10"/>
  <c r="D274" i="10"/>
  <c r="D273" i="10"/>
  <c r="D272" i="10"/>
  <c r="D271" i="10"/>
  <c r="C288" i="10"/>
  <c r="D286" i="10"/>
  <c r="D285" i="10"/>
  <c r="D284" i="10"/>
  <c r="D283" i="10"/>
  <c r="C300" i="10"/>
  <c r="D298" i="10"/>
  <c r="D297" i="10"/>
  <c r="D296" i="10"/>
  <c r="C312" i="10"/>
  <c r="D311" i="10"/>
  <c r="D310" i="10"/>
  <c r="D309" i="10"/>
  <c r="D308" i="10"/>
  <c r="D307" i="10"/>
  <c r="D306" i="10"/>
  <c r="C324" i="10"/>
  <c r="D323" i="10"/>
  <c r="D322" i="10"/>
  <c r="D321" i="10"/>
  <c r="D320" i="10"/>
  <c r="D3" i="15"/>
  <c r="D4" i="15"/>
  <c r="D5" i="15"/>
  <c r="D6" i="15"/>
  <c r="D7" i="15"/>
  <c r="D8" i="15"/>
  <c r="D9" i="15"/>
  <c r="D10" i="15"/>
  <c r="C11" i="15"/>
  <c r="D10" i="16"/>
  <c r="D9" i="16"/>
  <c r="D8" i="16"/>
  <c r="D7" i="16"/>
  <c r="D6" i="16"/>
  <c r="D5" i="16"/>
  <c r="D4" i="16"/>
  <c r="D3" i="16"/>
  <c r="C11" i="16"/>
  <c r="D152" i="10"/>
  <c r="D6" i="12"/>
  <c r="D29" i="10"/>
  <c r="D275" i="10"/>
  <c r="D252" i="10"/>
  <c r="D35" i="1"/>
  <c r="D51" i="1"/>
  <c r="D64" i="10"/>
  <c r="D240" i="12"/>
  <c r="D50" i="1"/>
  <c r="D173" i="12"/>
  <c r="D77" i="1"/>
  <c r="D228" i="12"/>
  <c r="D271" i="12"/>
  <c r="D220" i="12"/>
  <c r="D168" i="12"/>
  <c r="D48" i="10"/>
  <c r="D78" i="1"/>
  <c r="D175" i="12"/>
  <c r="D223" i="12"/>
  <c r="D83" i="10"/>
  <c r="D11" i="15"/>
  <c r="D42" i="12"/>
  <c r="D88" i="12"/>
  <c r="D108" i="10"/>
  <c r="D16" i="1"/>
  <c r="D5" i="12"/>
  <c r="D282" i="10"/>
  <c r="D77" i="12"/>
  <c r="D74" i="1"/>
  <c r="D180" i="10"/>
  <c r="D72" i="12"/>
  <c r="D136" i="12"/>
  <c r="D67" i="12"/>
  <c r="D101" i="10"/>
  <c r="D113" i="12"/>
  <c r="D16" i="10"/>
  <c r="D87" i="1"/>
  <c r="D59" i="1"/>
  <c r="D55" i="12"/>
  <c r="D25" i="1"/>
  <c r="D251" i="10"/>
  <c r="D47" i="10"/>
  <c r="D300" i="10"/>
  <c r="D17" i="10"/>
  <c r="D233" i="10"/>
  <c r="D36" i="10"/>
  <c r="D26" i="1"/>
  <c r="D263" i="10"/>
  <c r="D53" i="12"/>
  <c r="D41" i="12"/>
  <c r="D204" i="10"/>
  <c r="D94" i="1"/>
  <c r="D210" i="12"/>
  <c r="D245" i="12"/>
  <c r="D41" i="1"/>
  <c r="D96" i="10"/>
  <c r="D71" i="1"/>
  <c r="D78" i="12"/>
  <c r="D4" i="12"/>
  <c r="D264" i="12"/>
  <c r="D239" i="10"/>
  <c r="D208" i="10"/>
  <c r="D168" i="10"/>
  <c r="D299" i="10"/>
  <c r="D53" i="10"/>
  <c r="D80" i="1"/>
  <c r="D270" i="10"/>
  <c r="D33" i="1"/>
  <c r="D149" i="10"/>
  <c r="D88" i="1"/>
  <c r="D257" i="10"/>
  <c r="D160" i="10"/>
  <c r="D30" i="1"/>
  <c r="D12" i="12"/>
  <c r="D31" i="1"/>
  <c r="D24" i="1"/>
  <c r="D137" i="10"/>
  <c r="D15" i="1"/>
  <c r="D144" i="12"/>
  <c r="D256" i="12"/>
  <c r="D73" i="1"/>
  <c r="D156" i="12"/>
  <c r="D318" i="10"/>
  <c r="D4" i="10"/>
  <c r="D244" i="12"/>
  <c r="D54" i="12"/>
  <c r="D29" i="1"/>
  <c r="D295" i="10"/>
  <c r="D196" i="10"/>
  <c r="D27" i="1"/>
  <c r="D292" i="10"/>
  <c r="D64" i="12"/>
  <c r="D107" i="10"/>
  <c r="D20" i="12"/>
  <c r="D48" i="1"/>
  <c r="D28" i="10"/>
  <c r="D53" i="1"/>
  <c r="D30" i="12"/>
  <c r="D70" i="1"/>
  <c r="D23" i="10"/>
  <c r="D268" i="12"/>
  <c r="D46" i="1"/>
  <c r="D81" i="1"/>
  <c r="D88" i="10"/>
  <c r="D162" i="12"/>
  <c r="D197" i="12"/>
  <c r="D22" i="1"/>
  <c r="D234" i="10"/>
  <c r="D49" i="1"/>
  <c r="D150" i="10"/>
  <c r="D31" i="12"/>
  <c r="D89" i="10"/>
  <c r="D248" i="12"/>
  <c r="D216" i="12"/>
  <c r="D185" i="12"/>
  <c r="D164" i="12"/>
  <c r="D19" i="12"/>
  <c r="D319" i="10"/>
  <c r="D56" i="1"/>
  <c r="D48" i="12"/>
  <c r="D252" i="12"/>
  <c r="D66" i="12"/>
  <c r="D131" i="10"/>
  <c r="D89" i="1"/>
  <c r="D91" i="12"/>
  <c r="D18" i="12"/>
  <c r="D85" i="1"/>
  <c r="D227" i="10"/>
  <c r="D84" i="12"/>
  <c r="D287" i="10"/>
  <c r="D124" i="10"/>
  <c r="D222" i="12"/>
  <c r="D116" i="12"/>
  <c r="D221" i="12"/>
  <c r="D76" i="10"/>
  <c r="D215" i="10"/>
  <c r="D305" i="10"/>
  <c r="D148" i="10"/>
  <c r="D124" i="12"/>
  <c r="D143" i="10"/>
  <c r="D199" i="12"/>
  <c r="D86" i="1"/>
  <c r="D17" i="12"/>
  <c r="D101" i="12"/>
  <c r="D24" i="10"/>
  <c r="D232" i="12"/>
  <c r="D83" i="1"/>
  <c r="D294" i="10"/>
  <c r="D317" i="10"/>
  <c r="D95" i="10"/>
  <c r="D44" i="1"/>
  <c r="D256" i="10"/>
  <c r="D276" i="12"/>
  <c r="D35" i="10"/>
  <c r="D138" i="12"/>
  <c r="D211" i="12"/>
  <c r="D52" i="12"/>
  <c r="D84" i="10"/>
  <c r="D167" i="10"/>
  <c r="D18" i="1"/>
  <c r="D151" i="10"/>
  <c r="D34" i="1"/>
  <c r="D43" i="12"/>
  <c r="D161" i="10"/>
  <c r="D71" i="10"/>
  <c r="D43" i="1"/>
  <c r="D40" i="10"/>
  <c r="D246" i="12"/>
  <c r="D5" i="10"/>
  <c r="D16" i="12"/>
  <c r="D186" i="10"/>
  <c r="D156" i="10"/>
  <c r="D115" i="12"/>
  <c r="D161" i="12"/>
  <c r="D114" i="12"/>
  <c r="D38" i="1"/>
  <c r="D90" i="12"/>
  <c r="D148" i="12"/>
  <c r="D270" i="12"/>
  <c r="D160" i="12"/>
  <c r="D264" i="10"/>
  <c r="D42" i="1"/>
  <c r="D155" i="10"/>
  <c r="D163" i="12"/>
  <c r="D233" i="12"/>
  <c r="D6" i="10"/>
  <c r="D60" i="1"/>
  <c r="D136" i="10"/>
  <c r="D192" i="12"/>
  <c r="D59" i="10"/>
  <c r="D65" i="10"/>
  <c r="D77" i="10"/>
  <c r="D185" i="10"/>
  <c r="D196" i="12"/>
  <c r="D234" i="12"/>
  <c r="D90" i="1"/>
  <c r="D312" i="10"/>
  <c r="D61" i="1"/>
  <c r="D100" i="10"/>
  <c r="D54" i="1"/>
  <c r="D191" i="10"/>
  <c r="D24" i="12"/>
  <c r="D57" i="1"/>
  <c r="D316" i="10"/>
  <c r="D84" i="1"/>
  <c r="D47" i="1"/>
  <c r="D144" i="10"/>
  <c r="D19" i="1"/>
  <c r="D92" i="1"/>
  <c r="D186" i="12"/>
  <c r="D209" i="10"/>
  <c r="D281" i="10"/>
  <c r="D20" i="1"/>
  <c r="D204" i="12"/>
  <c r="D37" i="1"/>
  <c r="D60" i="12"/>
  <c r="D293" i="10"/>
  <c r="D52" i="1"/>
  <c r="D66" i="1"/>
  <c r="D103" i="12"/>
  <c r="D40" i="12"/>
  <c r="D132" i="12"/>
  <c r="D192" i="10"/>
  <c r="D108" i="12"/>
  <c r="D304" i="10"/>
  <c r="D137" i="12"/>
  <c r="D112" i="12"/>
  <c r="D96" i="12"/>
  <c r="D65" i="12"/>
  <c r="D257" i="12"/>
  <c r="D12" i="10"/>
  <c r="D64" i="1"/>
  <c r="D246" i="10"/>
  <c r="D36" i="1"/>
  <c r="D76" i="1"/>
  <c r="D324" i="10"/>
  <c r="D29" i="12"/>
  <c r="D184" i="12"/>
  <c r="D60" i="10"/>
  <c r="D288" i="10"/>
  <c r="D197" i="10"/>
  <c r="D269" i="12"/>
  <c r="D21" i="1"/>
  <c r="D247" i="12"/>
  <c r="D39" i="1"/>
  <c r="D244" i="10"/>
  <c r="D120" i="12"/>
  <c r="D119" i="10"/>
  <c r="D23" i="1"/>
  <c r="D82" i="1"/>
  <c r="D269" i="10"/>
  <c r="D198" i="12"/>
  <c r="D245" i="10"/>
  <c r="D125" i="12"/>
  <c r="D184" i="10"/>
  <c r="D62" i="1"/>
  <c r="D72" i="10"/>
  <c r="D55" i="1"/>
  <c r="D174" i="12"/>
  <c r="D132" i="10"/>
  <c r="D93" i="1"/>
  <c r="D52" i="10"/>
  <c r="D221" i="10"/>
  <c r="D32" i="1"/>
  <c r="D17" i="1"/>
  <c r="D28" i="12"/>
  <c r="D45" i="1"/>
  <c r="D79" i="1"/>
  <c r="D75" i="1"/>
  <c r="D100" i="12"/>
  <c r="D113" i="10"/>
  <c r="D36" i="12"/>
  <c r="D220" i="10"/>
  <c r="D125" i="10"/>
  <c r="D63" i="1"/>
  <c r="D69" i="1"/>
  <c r="D172" i="10"/>
  <c r="D72" i="1"/>
  <c r="D232" i="10"/>
  <c r="D180" i="12"/>
  <c r="D102" i="12"/>
  <c r="D149" i="12"/>
  <c r="D32" i="12"/>
  <c r="D208" i="12"/>
  <c r="D276" i="10"/>
  <c r="D67" i="1"/>
  <c r="D40" i="1"/>
  <c r="D173" i="10"/>
  <c r="D209" i="12"/>
  <c r="D280" i="10"/>
  <c r="D91" i="1"/>
  <c r="D203" i="10"/>
  <c r="D89" i="12"/>
  <c r="D179" i="10"/>
  <c r="D268" i="10"/>
  <c r="D150" i="12"/>
  <c r="D112" i="10"/>
  <c r="D120" i="10"/>
  <c r="D216" i="10"/>
  <c r="D172" i="12"/>
  <c r="D76" i="12"/>
  <c r="D258" i="10"/>
  <c r="D11" i="16"/>
  <c r="D58" i="1"/>
  <c r="D28" i="1"/>
  <c r="D11" i="10"/>
  <c r="D126" i="12"/>
  <c r="D65" i="1"/>
  <c r="D127" i="12"/>
  <c r="D240" i="10"/>
  <c r="D228" i="10"/>
  <c r="D68"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<sst xmlns="http://schemas.openxmlformats.org/spreadsheetml/2006/main" count="1289" uniqueCount="258">
  <si>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</si>
  <si>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</si>
  <si>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</si>
  <si>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</si>
  <si>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</si>
  <si>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</si>
  <si>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</si>
  <si>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</si>
  <si>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</si>
  <si>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</si>
  <si>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</si>
  <si>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</si>
  <si>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</si>
  <si>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</si>
  <si>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</si>
  <si>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</si>
  <si>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</si>
  <si>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</si>
  <si>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</si>
  <si>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</si>
  <si>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</si>
  <si>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</si>
  <si>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</si>
  <si>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</si>
  <si>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</si>
  <si>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</si>
  <si>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</si>
  <si>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</si>
  <si>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</si>
  <si>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</si>
  <si>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</si>
  <si>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</si>
  <si>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</si>
  <si>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</si>
  <si>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</si>
  <si>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</si>
  <si>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</si>
  <si>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</si>
  <si>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</si>
  <si>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</si>
  <si>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</si>
  <si>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</si>
  <si>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</si>
  <si>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</si>
  <si>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</si>
  <si>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</si>
  <si>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</si>
  <si>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</si>
  <si>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</si>
  <si>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</si>
  <si>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</si>
  <si>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</si>
  <si>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</si>
  <si>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</si>
  <si>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</si>
  <si>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</si>
  <si>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</si>
  <si>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</si>
  <si>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</si>
  <si>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</si>
  <si>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</si>
  <si>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</si>
  <si>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</si>
  <si>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</si>
  <si>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</si>
  <si>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A12</t>
  </si>
  <si>
    <t xml:space="preserve"> </t>
  </si>
  <si>
    <t>Mefail Slejmani</t>
  </si>
  <si>
    <t>Meeting - Expert 2</t>
  </si>
  <si>
    <t>Meeting - Expert 1</t>
  </si>
  <si>
    <t>Meeting - Chef du projet</t>
  </si>
  <si>
    <t xml:space="preserve">Analyse - Recherche </t>
  </si>
  <si>
    <t>02.05.2025 au 02.06.2025</t>
  </si>
  <si>
    <t xml:space="preserve"> TPI</t>
  </si>
  <si>
    <t>Implémentation - Connexion réseau IOT</t>
  </si>
  <si>
    <t>Implémentation - Interface web</t>
  </si>
  <si>
    <t>Implémentation - Stockage</t>
  </si>
  <si>
    <t>Implémentation - Mise en place des branches ESP32</t>
  </si>
  <si>
    <t>Matin</t>
  </si>
  <si>
    <t>Après-midi</t>
  </si>
  <si>
    <t xml:space="preserve">Analyse - Mise en place de la méthode de la gestion du projet </t>
  </si>
  <si>
    <t>Analyse ‑ Composants</t>
  </si>
  <si>
    <t xml:space="preserve">Implémentation - Commentaires code </t>
  </si>
  <si>
    <t>Discussion sur le déroulement du TPI et signature du cahier d'échange</t>
  </si>
  <si>
    <t>Structuration de la phase de planification initiale</t>
  </si>
  <si>
    <t>Analyse ‑ Tests</t>
  </si>
  <si>
    <t>Rédaction du journal de travail sur mes réalisations</t>
  </si>
  <si>
    <t>Discussion avec l'expert 2</t>
  </si>
  <si>
    <t>Implémentation - GIT</t>
  </si>
  <si>
    <t>Mise en œuvre des stratégies de test pour ce projet</t>
  </si>
  <si>
    <t>Mise en place du répertoire git pour faciliter la communication avec le chef de projet</t>
  </si>
  <si>
    <t>Étude de la manière de démarrer le projet</t>
  </si>
  <si>
    <t>Connection de l'ESP32 au réseau Wifi local</t>
  </si>
  <si>
    <t xml:space="preserve">Finalisation de la connexion entre l'ESP32 sur le réseau local </t>
  </si>
  <si>
    <t>Finalisation du chapitre "Analyse Conception" et "INTRODUCTION"</t>
  </si>
  <si>
    <t xml:space="preserve">Absences - Imprévus </t>
  </si>
  <si>
    <t>Analyse ‑ Cahier des charges</t>
  </si>
  <si>
    <t>Compréhension du cahier des charges</t>
  </si>
  <si>
    <t>Mise en place du serveur web HTTP après la connexion au réseau Wifi</t>
  </si>
  <si>
    <t>Liaisons entre le ESP32 et les éléments</t>
  </si>
  <si>
    <t>Recherche de comment connecter le ESP32 aux éléments</t>
  </si>
  <si>
    <t xml:space="preserve">Discussions sur le projet </t>
  </si>
  <si>
    <t>Implémentation - ESP32</t>
  </si>
  <si>
    <t>Créer un code pour contrôler les éléments du projet en utilisant l'ESP32 et les tester s'ils sont opérationnels</t>
  </si>
  <si>
    <t>Recherche de comment avoir un contrôle d'arrosage depuis un serveur web</t>
  </si>
  <si>
    <t>Élaboration du code pour contrôler l'ESP32 à partir d'un serveur web</t>
  </si>
  <si>
    <t>Séquence 27</t>
  </si>
  <si>
    <t>lundi, 2 juin 2025</t>
  </si>
  <si>
    <t>mercredi, 28 mai 2025</t>
  </si>
  <si>
    <t>lundi, 26 mai 2025</t>
  </si>
  <si>
    <t>vendredi, 23 mai 2025</t>
  </si>
  <si>
    <t>jeudi, 22 mai 2025</t>
  </si>
  <si>
    <t>mercredi, 21 mai 2025</t>
  </si>
  <si>
    <t>lundi, 19 mai 2025</t>
  </si>
  <si>
    <t>vendredi, 16 mai 2025</t>
  </si>
  <si>
    <t>jeudi, 15 mai 2025</t>
  </si>
  <si>
    <t>mercredi, 14 mai 2025</t>
  </si>
  <si>
    <t>lundi, 12 mai 2025</t>
  </si>
  <si>
    <t>vendredi, 9 mai 2025</t>
  </si>
  <si>
    <t>jeudi, 8 mai 2025</t>
  </si>
  <si>
    <t>mercredi, 7 mai 2025</t>
  </si>
  <si>
    <t>lundi, 5 mai 2025</t>
  </si>
  <si>
    <t>vendredi, 2 mai 2025</t>
  </si>
  <si>
    <t>Recherche de comment contrôler les valeurs du capteur</t>
  </si>
  <si>
    <t xml:space="preserve">Discussion avec le chef du projet </t>
  </si>
  <si>
    <t>Mise en œuvre de l'activation de la pompe d'eau après avoir cliqué sur le bouton depuis le serveur web.</t>
  </si>
  <si>
    <t>Mise en œuvre de l'activation automatique de la pompe d'eau après avoir dépassé la limite d'humidité ajustable avec un temps également.</t>
  </si>
  <si>
    <t>Recherche de comment afficher l'état des plantes directement depuis l'interface web</t>
  </si>
  <si>
    <t>Réalisation du design du site et affichage de l'état des plantes avec les boutons</t>
  </si>
  <si>
    <t>Finalisation avec une supervision totale depuis le serveur web sur les fonctionnalités du projet</t>
  </si>
  <si>
    <t>Réalisation d'un fichier JSON ou SQLite, incluant la création des fichiers ou des tables nécessaires</t>
  </si>
  <si>
    <t>Recherche sur la sauvegarde de l'historique des plantes dans un fichier JSON ou  SQLite, incluant la création des fichiers ou des tables nécessaires</t>
  </si>
  <si>
    <t>Finalisation des étapes de sauvegarde des logs avec (date, durées, seuils)</t>
  </si>
  <si>
    <t>implémentation du fichier Jason ou SQLite dans l'interface web</t>
  </si>
  <si>
    <t>Finalisation de l'implémentation du fichier Jason ou SQLite avec l'interface web dans le ESP32</t>
  </si>
  <si>
    <t>Finalisation de la partie du chapitre "Réalisation".</t>
  </si>
  <si>
    <t>Vérification des incohérences dans le code</t>
  </si>
  <si>
    <t>Optimiser le code pour qu'il soit le plus léger possible</t>
  </si>
  <si>
    <t xml:space="preserve">Finalisation de l'infrastructre </t>
  </si>
  <si>
    <t>Finalisation du chapitre "CONCLUSIONS"</t>
  </si>
  <si>
    <t>Finalisation du chapitre "ANNEXES"</t>
  </si>
  <si>
    <t>Finalisation du rapport</t>
  </si>
  <si>
    <t>Finalisation du journal de travail et vérification des incohérences</t>
  </si>
  <si>
    <t>89h 55 min</t>
  </si>
  <si>
    <t>Identifier la méthode la plus adaptée à ce projet, parmi des approches telles que le Cycle en V, la Méthode des 6 étapes ou Scrum.</t>
  </si>
  <si>
    <t>Effectuer des recherches sur les interfaces web afin de comprendre le fonctionnement des composants mis à disposition pour ce projet, notamment leur rôle, leur alimentation et leur utilité dans le système</t>
  </si>
  <si>
    <t>Controler que les commentaires sont mis dans tout le code</t>
  </si>
  <si>
    <t>Redaction du journal de travail sur le Chapitre "Introduction"</t>
  </si>
  <si>
    <t>Observer et manipuler le matériel fourni pour ce projet afin d’identifier les différentes pièces disponibles.</t>
  </si>
  <si>
    <t>Redaction d'une partie du chapitre "Analyse Conception"</t>
  </si>
  <si>
    <t>Redaction du chapitre "Analyse Conception" et "INTRODUCTION"</t>
  </si>
  <si>
    <t>Redaction d'une petite partie du chapitre "Réalisation".</t>
  </si>
  <si>
    <t>Redaction de la partie du chapitre "Réalisation".</t>
  </si>
  <si>
    <t>Redaction du chapitre "CONCLUSIONS"</t>
  </si>
  <si>
    <t>Redaction du chapitre "ANNEXES"</t>
  </si>
  <si>
    <t>Discussion avec le chef de projet sur le déroulement de TPI</t>
  </si>
  <si>
    <t>J'ai inclus des chapitres dans la documentation et j'ai effectué les chapitres 'Méthodologie du projet' et 'Planification initiale'.</t>
  </si>
  <si>
    <t>En manipulant et en observant, j'ai repéré sur quels composants je suis en train de travailler, par exemple : capteur d'humidité 'hw-103 v0.1'</t>
  </si>
  <si>
    <t>https://esp32io.com/tutorials/esp32-automatic-irrigation-system</t>
  </si>
  <si>
    <t>J'ai ajouté et fini le chapitre SWOT, car je suis convaincu que la compréhension des points forts et des points faibles est cruciale pour clôturer de la meilleure façon le projet.</t>
  </si>
  <si>
    <t>https://www.instructables.com/ESP32-With-Integrated-OLED-WEMOSLolin-Getting-Star/ https://learn.sparkfun.com/tutorials/how-to-install-ch340-drivers/all https://raw.githubusercontent.com/espressif/arduino-esp32/gh-pages/package_esp32_index.json</t>
  </si>
  <si>
    <t>https://www.youtube.com/watch?v=hr_6_xS2SZ4 https://www.youtube.com/watch?v=z2XOrZTO6bg</t>
  </si>
  <si>
    <t>J’ai constaté un dysfonctionnement dans l’affichage de l’humidité : après avoir raccordé le capteur à l’ESP32, la valeur restait systématiquement à 0 %. Les tentatives d’humidification directe n’ont produit aucun changement. J’ai donc testé plusieurs codes trouvés en ligne. Ce n’est qu’en immergeant le capteur dans une bouteille d’eau que la mesure d’humidité a finalement varié.</t>
  </si>
  <si>
    <t>https://www.electronicwings.com/esp32/soil-moisture-sensor-interfacing-with-esp32 https://www.youtube.com/watch?v=C3NGTrF3IbI</t>
  </si>
  <si>
    <t>J’ai commencé la rédaction du chapitre  «Réalisation».</t>
  </si>
  <si>
    <t>J'ai élaboré le code qui permet d'accéder au réseau IoT.</t>
  </si>
  <si>
    <t>J'ai cherché des informations sur la manière de concevoir une interface web qui affiche l'humidité du capteur.</t>
  </si>
  <si>
    <t>J'ai avancé sur la rédaction du chapitre "ESP32-WROOM".</t>
  </si>
  <si>
    <t>J'ai branché le capteur d'humidité sur le ESP32 et je vais voir s'il fonctionne.</t>
  </si>
  <si>
    <t>Rédaction du journal de travail sur mes réalisations.</t>
  </si>
  <si>
    <t>J'ai complété les chapitres "Concept" et stratégie de test.</t>
  </si>
  <si>
    <t>J'ai recherche de comment brancher les composants pour realiser ce projet.</t>
  </si>
  <si>
    <t>J'ai installe le driver pour que l'ESP32 puisse interfagir avec l'ordinateur Windows 10 et j'ai mise en place la librerie pour developper le code sur Arduino.</t>
  </si>
  <si>
    <t>Discussion sur comment je dois rajouter les plantes sur le serveur Web et aussi sur comment je dois faire mes commits sur GIT.</t>
  </si>
  <si>
    <t>En manipulant et en observant, j'ai repéré sur quels composants je suis en train de travailler, par exemple : capteur d'humidité 'hw-103 v0.1'.</t>
  </si>
  <si>
    <t>Correction de tous les points soulevés par les experts et envoi de la réponse par mail.</t>
  </si>
  <si>
    <t>Finalisation des chapitres "Introduction" et "Objectifs".</t>
  </si>
  <si>
    <t>J'ai recherché sur comment je pourrais réaliser ce projet.</t>
  </si>
  <si>
    <t>Discussion avec le chef de projet sur la planification initiale, répertoire Git.</t>
  </si>
  <si>
    <t>Mise à jour de la planification initiale conformément aux suggestions des experts grace l'aide du chef de projet .</t>
  </si>
  <si>
    <t>Après avoir évalué les trois méthodes, j'ai choisi d'adopter celle des 6 pas afin d'apporter davantage de structure à mon approche.</t>
  </si>
  <si>
    <t>Mise à jour de la planification initiale conformément aux suggestions des experts.</t>
  </si>
  <si>
    <t>Mise en place d’un répertoire Git pour le partage de fichiers avec mon chef de projet.</t>
  </si>
  <si>
    <t>Définir les besoins pour commencer le chapitre 'Analyse préliminaire' du rapport.</t>
  </si>
  <si>
    <t>initialisation du rapport sur la partie du chapitre "Analyse préliminaire".</t>
  </si>
  <si>
    <t>Compréhension ducahier des charges.</t>
  </si>
  <si>
    <t>Structuration de la phase de planification initiale.</t>
  </si>
  <si>
    <t>Discussion sur le déroulement du TPI et signature du cahier d'échange.</t>
  </si>
  <si>
    <t>Compréhension du cahier des charges.</t>
  </si>
  <si>
    <t>Discussion avec le chef de projet sur le déroulement de TPI.</t>
  </si>
  <si>
    <t>https://www.electronicwings.com/esp32/soil-moisture-sensor-interfacing-with-esp32</t>
  </si>
  <si>
    <t>J'ai tenté d'intégrer le code, mais l'interface web ne se montre pas.</t>
  </si>
  <si>
    <t>J'ai réussi à visualiser le pourcentage d'humidité sur le serveur Web</t>
  </si>
  <si>
    <t>J'ai finlisé le chapitre "ESP32-WROOM".</t>
  </si>
  <si>
    <t>https://www.espressif.com/sites/default/files/documentation/esp32-wroom-32_datasheet_en.pdf</t>
  </si>
  <si>
    <t>https://www.dzduino.com/Blog%20Dzduino/Serveur%20Web%20ESP32%20DHT11%20d'Humidit%C3%A9%20et%20de%20Temp%C3%A9rature?srsltid=AfmBOooGahKLRhdGz916kr0rJWpch8FyarBc8AaBYqB6lWOn0BnsIYMx</t>
  </si>
  <si>
    <t>https://youtu.be/ApGwxX6VVzk?si=yGxZHjgSGOKn_XMV</t>
  </si>
  <si>
    <t>J’ai trouvé un bout de code qui me permettra d’activer une broche GPIO de l’ESP32 directement depuis le serveur Web.</t>
  </si>
  <si>
    <t>J’éprouve encore des difficultés à transmettre des valeurs du serveur Web vers l’ESP32 ; je teste actuellement la broche GPIO 26 avec une LED pour vérifier si elle reçoit bien la commande envoyée.</t>
  </si>
  <si>
    <t>https://randomnerdtutorials.com/esp32-web-server-arduino-ide/</t>
  </si>
  <si>
    <t>https://chatgpt.com/</t>
  </si>
  <si>
    <t>https://randomnerdtutorials.com/esp32-dht11-dht22-temperature-humidity-web-server-arduino-ide  https://randomnerdtutorials.com/esp32-web-server-arduino-ide</t>
  </si>
  <si>
    <t>Après avoir cherché en vain une solution, j’ai sollicité l’aide d’une intelligence artificielle ; elle m’a généré un script JavaScript qui actualise les résultats sans recharger la page.</t>
  </si>
  <si>
    <t>J'ai finalisé le chapitre "Maquette".</t>
  </si>
  <si>
    <t>J’ai finalisé l’interface Web pour afficher le taux d’humidité et un bouton qui, lorsqu’on le clique, allume une LED pendant X secondes ; cette fonction sert uniquement à vérifier que la transmission entre le serveur Web et l’ESP32 se déroule correctement. Un problème demeure toutefois : chaque mise à jour de la valeur d’humidité ou chaque clic sur le bouton provoque un rechargement de la page, et l’interface disparaît alors quelques secondes.</t>
  </si>
  <si>
    <t>J’ai vérifié les critères du rapport du TPI et corrigé certaines parties.</t>
  </si>
  <si>
    <t>Le chef de projet m’a remis les piles pour tester la pompe à eau, et je lui ai également montré le fonctionnement actuel du site web.</t>
  </si>
  <si>
    <t>J’ai recherché comment connecter la pompe à eau au circuit électrique de l’ESP32.</t>
  </si>
  <si>
    <t>https://forum.arduino.cc/t/relay-songle-srd-05vdc-sl-c-10a/574537/8 https://www.youtube.com/watch?v=Ix3a3ThsHfA</t>
  </si>
  <si>
    <t>Implémentation de la partie arrosage automatique du code</t>
  </si>
  <si>
    <t>Ancien projet code</t>
  </si>
  <si>
    <t xml:space="preserve">Ancien projet code </t>
  </si>
  <si>
    <t>J'ai modifié un peu toutes les parties du chapitre "Réalisation"</t>
  </si>
  <si>
    <t xml:space="preserve">J'ai finalise l'arrosage automatique </t>
  </si>
  <si>
    <t xml:space="preserve">J'ai modifié un peu toutes les parties du chapitre "Réalisation" avec aussi la partie des tests </t>
  </si>
  <si>
    <t xml:space="preserve">Finalisation chapitre maquette </t>
  </si>
  <si>
    <t>https://www.figma.com/</t>
  </si>
  <si>
    <t>J’implémente actuellement la fonctionnalité qui permet d’ajuster le temps d’arrosage.</t>
  </si>
  <si>
    <t>https://randomnerdtutorials.com/esp32-http-get-post-arduino/   https://www.youtube.com/watch?v=U0O3e_frnGo</t>
  </si>
  <si>
    <t>https://www.makeuseof.com/arduino-if-else-statement-work-how-work/</t>
  </si>
  <si>
    <t>Discussion sur l'avancement du projet</t>
  </si>
  <si>
    <t>https://www.youtube.com/watch?v=z_rPvQhKTfY&amp;list=PLz5tspBvtZgEdeOTRZKBKNh-JPU4M3Dzc https://arduinojson.org/v6/example/config/    https://www.youtube.com/watch?v=nfr6wddRRxo&amp;ab_channel=BenoitBlanchon</t>
  </si>
  <si>
    <t>https://www.youtube.com/watch?v=NYP_CxdYzLo&amp;ab_channel=BrianLough https://www.youtube.com/watch?v=iGCU0ynkl_M&amp;ab_channel=Asali https://randomnerdtutorials.com/decoding-and-encoding-json-with-arduino-or-esp8266/</t>
  </si>
  <si>
    <t>J’implémente la partie où je vais sauvegarder les logs d’arrosage dans un fichier JSON, comprendre l’utilisation de SPIFFS et aussi comment récupérer l’heure dynamiquement pour l’implémenter dans les logs.</t>
  </si>
  <si>
    <t xml:space="preserve">j'ai implementé la partie ou je vais récuperer le temps afin qu'il s'enregistre dans le fichier JSON </t>
  </si>
  <si>
    <t>https://randomnerdtutorials.com/esp32-date-time-ntp-client-server-arduino/</t>
  </si>
  <si>
    <t>J’ai débuté mes recherches sur l’utilisation des fichiers JSON dans l’environnement Arduino IDE.</t>
  </si>
  <si>
    <t>J’ai constaté qu’après mes modifications, le clic sur le bouton d’arrosage n’allume plus la LED ; je cherche donc à comprendre l’origine de ce dysfonctionnement.</t>
  </si>
  <si>
    <t>Discussion sur l'état du projet et aussi sur comment l'interface web doit être comme résultat final</t>
  </si>
  <si>
    <t>T+B3:G207âche</t>
  </si>
  <si>
    <t>https://www.tutorialspoint.com/esp32_for_iot/esp32_for_iot_spiffs_storage.htm?utm_source=chatgpt.com https://github.com/techiesms/Arduino-JSON-Assistant-Example-code/blob/main/Date_time_on_SerialMonitor/Date_time_on_SerialMonitor.ino</t>
  </si>
  <si>
    <t>Je suis en train de mettre en place l'enregistrement des données — comprenant la date, l'heure, les minutes, le type et le nom — dans un fichier JSON</t>
  </si>
  <si>
    <t>J'ai résolu le problème d'alimentation de la LED après le clic sur le bouton de l'interface web : une ligne essentielle du code responsable de son allumage avait été supprimée.</t>
  </si>
  <si>
    <t>J'ai rencontré un problème lors de la sauvegarde de la date en l'absence de connexion réseau. En effet, ma méthode actuelle repose sur une connexion au Wi-Fi local pour permettre à l’ESP de récupérer la date, l’heure et les minutes. Je cherche une solution pour contourner cette limitation, et je prévois également d’en discuter avec mon chef de projet.</t>
  </si>
  <si>
    <t>https://forum.arduino.cc/t/esp32-afficher-la-date-et-lheure-sur-la-console-arduino/1059753/11  http://www.fabglib.org/_s_s_d1306__o_l_e_d_2128x64_2_r_t_clock_2_r_t_clock_8ino-example.html</t>
  </si>
  <si>
    <t>Je suis en train d’intégrer l’enregistrement des valeurs  dans le fichier log.json que j’ai créé, en le fusionnant avec le code principal afin de centraliser toutes les fonctionnalités dans un seul programme.</t>
  </si>
  <si>
    <t>https://www.youtube.com/watch?v=PAZUG7oSAwA&amp;t=134s  https://techtutorialsx.com/2018/08/05/esp32-arduino-spiffs-writing-a-file/</t>
  </si>
  <si>
    <t>J’ai réalisé l’implémentation de la partie JSON avec SPIFFS et Arduino, ainsi qu’une partie de la phase de réalisation du proje</t>
  </si>
  <si>
    <t>https://www.youtube.com/watch?v=jXEVZga9l1s https://www.youtube.com/watch?v=MdGg6ZTq9aw</t>
  </si>
  <si>
    <t>J’ai branché l’ensemble du projet afin de tester son fonctionnement. Le test a été effectué uniquement pour une plante, et il s’est révélé concluant</t>
  </si>
  <si>
    <t xml:space="preserve">https://www.w3schools.com/whatis/whatis_json.asp https://docs.espressif.com/projects/esp-idf/en/stable/esp32/api-reference/storage/spiffs.html </t>
  </si>
  <si>
    <t>Après l’assemblage des composants, j’ai rencontré un problème au démarrage du moteur : dès que je déclare une broche (GPIO) sur l’ESP32, le moteur s’active dans tous les cas, que la broche soit mise à LOW ou HIGH. Le comportement le plus étrange est qu’après avoir supprimé la déclaration des broches dans le code, le moteur continue à s’activer comme si l’ESP32 se souvenait de l’ancienne configuration. Je suspecte que cela soit dû à l'absence d’un effacement de la mémoire interne.</t>
  </si>
  <si>
    <t>Je vais reprendre cette fonctionnalité plus tard afin de ne pas perdre de temps.</t>
  </si>
  <si>
    <t>https://esp32.com/viewtopic.php?t=14166 https://emalliab.wordpress.com/2024/05/20/esp32-strapping-pins</t>
  </si>
  <si>
    <t>J’ai recherché comment utiliser la fonctionnalité CRUD depuis une interface web, afin de gérer directement le fichier JSON : création d’une nouvelle plante, modification et suppression</t>
  </si>
  <si>
    <t xml:space="preserve">Changement de couleur du bouton d’arrosage : au moment du clic, le bouton devient rouge. Cela est rendu possible grâce à un script généré par l’intelligence artificielle, permettant de changer la couleur sans recharger la page — ce qui serait presque impossible à réaliser uniquement avec du HTML et du CSS comme indique dans le documentaire comme référance. </t>
  </si>
  <si>
    <t>https://www.youtube.com/watch?v=sMSfvfKkc6U</t>
  </si>
  <si>
    <t>https://chatgpt.com/  https://stackoverflow.com/questions/34937981/is-it-possible-to-change-html-content-without-using-javascript</t>
  </si>
  <si>
    <t>https://randomnerdtutorials.com/esp32-deta-base-database-arduino/</t>
  </si>
  <si>
    <t>69h 45 min</t>
  </si>
  <si>
    <t>- 20h 10 min</t>
  </si>
  <si>
    <t>J’ai échangé au sujet du problème d’enregistrement de la date sans connexion Wi-Fi pour l’affichage. Il m’a également aidé à résoudre l’activation intempestive de la pompe : le dysfonctionnement provenait de l’alimentation du relais, qui ne doit pas être en 5V mais en 3,3V, car une tension trop élevée entraîne une surcharge électrique</t>
  </si>
  <si>
    <t>https://raspberrypi.stackexchange.com/questions/73311/using-single-5v-relay-jqc-3ff-s-z-safety-advice-required</t>
  </si>
  <si>
    <t>j'implémente le code  avec le tutoriel afin d'implémenter la fonctionnalité CRUD sur l'interface</t>
  </si>
  <si>
    <t>j'ai créé le schéma électrique pour le rajouter dans mon rapport</t>
  </si>
  <si>
    <t>j'ai implémenté la partie d'ajout de plantes, il manque la modification et la suppression</t>
  </si>
  <si>
    <t xml:space="preserve">  https://github.com/espressif/arduino-esp32/issues/4432     https://forum.arduino.cc/t/esp32-upload-delete-modify-file-using-external-app/600907 https://chatgpt.com/   </t>
  </si>
  <si>
    <t>Correction des parties dans le chapitre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</si>
</sst>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25" xfId="0" applyFont="1" applyFill="1" applyBorder="1"/>
    <xf numFmtId="0" fontId="2" fillId="19" borderId="79" xfId="0" applyFont="1" applyFill="1" applyBorder="1"/>
    <xf numFmtId="0" fontId="2" fillId="19" borderId="24" xfId="0" applyFont="1" applyFill="1" applyBorder="1"/>
    <xf numFmtId="0" fontId="2" fillId="19" borderId="57" xfId="0" applyFont="1" applyFill="1" applyBorder="1"/>
    <xf numFmtId="0" fontId="2" fillId="19" borderId="72" xfId="0" applyFont="1" applyFill="1" applyBorder="1"/>
    <xf numFmtId="0" fontId="2" fillId="19" borderId="77" xfId="0" applyFont="1" applyFill="1" applyBorder="1"/>
    <xf numFmtId="0" fontId="2" fillId="19" borderId="55"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76" xfId="0" applyFont="1" applyFill="1" applyBorder="1"/>
    <xf numFmtId="0" fontId="2" fillId="21" borderId="1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3"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2" fillId="21" borderId="54" xfId="0" applyFont="1" applyFill="1" applyBorder="1"/>
    <xf numFmtId="0" fontId="0" fillId="0" borderId="84" xfId="0" applyFont="1" applyBorder="1" applyAlignment="1" applyProtection="1">
      <alignment horizontal="left" vertical="top" wrapText="1"/>
      <protection locked="0"/>
    </xf>
    <xf numFmtId="0" fontId="0" fillId="0" borderId="83"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E99-41B8-9A90-77E5ABE0815C}"/>
                </c:ext>
              </c:extLst>
            </c:dLbl>
            <c:dLbl>
              <c:idx val="2"/>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E99-41B8-9A90-77E5ABE0815C}"/>
                </c:ext>
              </c:extLst>
            </c:dLbl>
            <c:dLbl>
              <c:idx val="3"/>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E99-41B8-9A90-77E5ABE0815C}"/>
                </c:ext>
              </c:extLst>
            </c:dLbl>
            <c:dLbl>
              <c:idx val="4"/>
              <c:tx>
                <c:rich>
                  <a:bodyPr/>
                  <a:lstStyle/>
                  <a:p>
                    <a:r>
                      <a:rPr lang="en-US"/>
                      <a:t>8h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E99-41B8-9A90-77E5ABE0815C}"/>
                </c:ext>
              </c:extLst>
            </c:dLbl>
            <c:dLbl>
              <c:idx val="5"/>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E99-41B8-9A90-77E5ABE0815C}"/>
                </c:ext>
              </c:extLst>
            </c:dLbl>
            <c:dLbl>
              <c:idx val="6"/>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E99-41B8-9A90-77E5ABE0815C}"/>
                </c:ext>
              </c:extLst>
            </c:dLbl>
            <c:dLbl>
              <c:idx val="7"/>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E99-41B8-9A90-77E5ABE0815C}"/>
                </c:ext>
              </c:extLst>
            </c:dLbl>
            <c:dLbl>
              <c:idx val="8"/>
              <c:tx>
                <c:rich>
                  <a:bodyPr/>
                  <a:lstStyle/>
                  <a:p>
                    <a:r>
                      <a:rPr lang="en-US"/>
                      <a:t>26h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E99-41B8-9A90-77E5ABE0815C}"/>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838-4242-AFB8-05FD5BF63F14}"/>
                </c:ext>
              </c:extLst>
            </c:dLbl>
            <c:dLbl>
              <c:idx val="10"/>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E99-41B8-9A90-77E5ABE0815C}"/>
                </c:ext>
              </c:extLst>
            </c:dLbl>
            <c:dLbl>
              <c:idx val="11"/>
              <c:tx>
                <c:rich>
                  <a:bodyPr/>
                  <a:lstStyle/>
                  <a:p>
                    <a:r>
                      <a:rPr lang="en-US"/>
                      <a:t>11h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E99-41B8-9A90-77E5ABE0815C}"/>
                </c:ext>
              </c:extLst>
            </c:dLbl>
            <c:dLbl>
              <c:idx val="12"/>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E99-41B8-9A90-77E5ABE0815C}"/>
                </c:ext>
              </c:extLst>
            </c:dLbl>
            <c:dLbl>
              <c:idx val="13"/>
              <c:tx>
                <c:rich>
                  <a:bodyPr/>
                  <a:lstStyle/>
                  <a:p>
                    <a:r>
                      <a:rPr lang="en-US"/>
                      <a:t>12h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E99-41B8-9A90-77E5ABE0815C}"/>
                </c:ext>
              </c:extLst>
            </c:dLbl>
            <c:dLbl>
              <c:idx val="14"/>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E99-41B8-9A90-77E5ABE0815C}"/>
                </c:ext>
              </c:extLst>
            </c:dLbl>
            <c:dLbl>
              <c:idx val="15"/>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E99-41B8-9A90-77E5ABE0815C}"/>
                </c:ext>
              </c:extLst>
            </c:dLbl>
            <c:dLbl>
              <c:idx val="16"/>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E99-41B8-9A90-77E5ABE0815C}"/>
                </c:ext>
              </c:extLst>
            </c:dLbl>
            <c:dLbl>
              <c:idx val="17"/>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E99-41B8-9A90-77E5ABE0815C}"/>
                </c:ext>
              </c:extLst>
            </c:dLbl>
            <c:dLbl>
              <c:idx val="1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E99-41B8-9A90-77E5ABE0815C}"/>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Cahier des charges</c:v>
              </c:pt>
              <c:pt idx="2">
                <c:v>Analyse - Mise en place de la méthode de la gestion du projet </c:v>
              </c:pt>
              <c:pt idx="3">
                <c:v>Analyse - Planification initiale</c:v>
              </c:pt>
              <c:pt idx="4">
                <c:v>Analyse - Recherche </c:v>
              </c:pt>
              <c:pt idx="5">
                <c:v>Analyse ‑ Composants</c:v>
              </c:pt>
              <c:pt idx="6">
                <c:v>Analyse ‑ Tests</c:v>
              </c:pt>
              <c:pt idx="7">
                <c:v>Doc - Journal de travail</c:v>
              </c:pt>
              <c:pt idx="8">
                <c:v>Doc - Rapport</c:v>
              </c:pt>
              <c:pt idx="9">
                <c:v>Implémentation - Commentaires code </c:v>
              </c:pt>
              <c:pt idx="10">
                <c:v>Implémentation - Connexion réseau IOT</c:v>
              </c:pt>
              <c:pt idx="11">
                <c:v>Implémentation - ESP32</c:v>
              </c:pt>
              <c:pt idx="12">
                <c:v>Implémentation - GIT</c:v>
              </c:pt>
              <c:pt idx="13">
                <c:v>Implémentation - Interface web</c:v>
              </c:pt>
              <c:pt idx="14">
                <c:v>Implémentation - Mise en place des branches ESP32</c:v>
              </c:pt>
              <c:pt idx="15">
                <c:v>Implémentation - Stockage</c:v>
              </c:pt>
              <c:pt idx="16">
                <c:v>Meeting - Chef du projet</c:v>
              </c:pt>
              <c:pt idx="17">
                <c:v>Meeting - Expert 1</c:v>
              </c:pt>
              <c:pt idx="18">
                <c:v>Meeting - Expert 2</c:v>
              </c:pt>
            </c:strLit>
          </c:cat>
          <c:val>
            <c:numLit>
              <c:formatCode>General</c:formatCode>
              <c:ptCount val="19"/>
              <c:pt idx="0">
                <c:v>0</c:v>
              </c:pt>
              <c:pt idx="1">
                <c:v>10</c:v>
              </c:pt>
              <c:pt idx="2">
                <c:v>5</c:v>
              </c:pt>
              <c:pt idx="3">
                <c:v>67</c:v>
              </c:pt>
              <c:pt idx="4">
                <c:v>97</c:v>
              </c:pt>
              <c:pt idx="5">
                <c:v>10</c:v>
              </c:pt>
              <c:pt idx="6">
                <c:v>30</c:v>
              </c:pt>
              <c:pt idx="7">
                <c:v>33</c:v>
              </c:pt>
              <c:pt idx="8">
                <c:v>312</c:v>
              </c:pt>
              <c:pt idx="9">
                <c:v>10</c:v>
              </c:pt>
              <c:pt idx="10">
                <c:v>23</c:v>
              </c:pt>
              <c:pt idx="11">
                <c:v>133</c:v>
              </c:pt>
              <c:pt idx="12">
                <c:v>7</c:v>
              </c:pt>
              <c:pt idx="13">
                <c:v>154</c:v>
              </c:pt>
              <c:pt idx="14">
                <c:v>11</c:v>
              </c:pt>
              <c:pt idx="15">
                <c:v>116</c:v>
              </c:pt>
              <c:pt idx="16">
                <c:v>49</c:v>
              </c:pt>
              <c:pt idx="17">
                <c:v>6</c:v>
              </c:pt>
              <c:pt idx="18">
                <c:v>6</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E99-41B8-9A90-77E5ABE0815C}"/>
                </c:ext>
              </c:extLst>
            </c:dLbl>
            <c:dLbl>
              <c:idx val="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34E-4AE7-AE74-F3DF8DBC473C}"/>
                </c:ext>
              </c:extLst>
            </c:dLbl>
            <c:dLbl>
              <c:idx val="3"/>
              <c:tx>
                <c:rich>
                  <a:bodyPr/>
                  <a:lstStyle/>
                  <a:p>
                    <a:r>
                      <a:rPr lang="en-US"/>
                      <a:t>8h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E99-41B8-9A90-77E5ABE0815C}"/>
                </c:ext>
              </c:extLst>
            </c:dLbl>
            <c:dLbl>
              <c:idx val="4"/>
              <c:tx>
                <c:rich>
                  <a:bodyPr/>
                  <a:lstStyle/>
                  <a:p>
                    <a:r>
                      <a:rPr lang="en-US"/>
                      <a:t>7h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0F8-454D-86E9-FB6326A8C5DB}"/>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0F8-454D-86E9-FB6326A8C5DB}"/>
                </c:ext>
              </c:extLst>
            </c:dLbl>
            <c:dLbl>
              <c:idx val="6"/>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59E-4D1C-BCC4-B974C4578A6F}"/>
                </c:ext>
              </c:extLst>
            </c:dLbl>
            <c:dLbl>
              <c:idx val="7"/>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34E-4AE7-AE74-F3DF8DBC473C}"/>
                </c:ext>
              </c:extLst>
            </c:dLbl>
            <c:dLbl>
              <c:idx val="8"/>
              <c:tx>
                <c:rich>
                  <a:bodyPr/>
                  <a:lstStyle/>
                  <a:p>
                    <a:r>
                      <a:rPr lang="en-US"/>
                      <a:t>15h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34E-4AE7-AE74-F3DF8DBC473C}"/>
                </c:ext>
              </c:extLst>
            </c:dLbl>
            <c:dLbl>
              <c:idx val="1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BB2-47AE-B833-A0311556F0E9}"/>
                </c:ext>
              </c:extLst>
            </c:dLbl>
            <c:dLbl>
              <c:idx val="11"/>
              <c:tx>
                <c:rich>
                  <a:bodyPr/>
                  <a:lstStyle/>
                  <a:p>
                    <a:r>
                      <a:rPr lang="en-US"/>
                      <a:t>5h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0F8-454D-86E9-FB6326A8C5DB}"/>
                </c:ext>
              </c:extLst>
            </c:dLbl>
            <c:dLbl>
              <c:idx val="1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34E-4AE7-AE74-F3DF8DBC473C}"/>
                </c:ext>
              </c:extLst>
            </c:dLbl>
            <c:dLbl>
              <c:idx val="13"/>
              <c:tx>
                <c:rich>
                  <a:bodyPr/>
                  <a:lstStyle/>
                  <a:p>
                    <a:r>
                      <a:rPr lang="en-US"/>
                      <a:t>15h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BB2-47AE-B833-A0311556F0E9}"/>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59E-4D1C-BCC4-B974C4578A6F}"/>
                </c:ext>
              </c:extLst>
            </c:dLbl>
            <c:dLbl>
              <c:idx val="15"/>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4B2-4686-AB89-C9C15F23647F}"/>
                </c:ext>
              </c:extLst>
            </c:dLbl>
            <c:dLbl>
              <c:idx val="16"/>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E99-41B8-9A90-77E5ABE0815C}"/>
                </c:ext>
              </c:extLst>
            </c:dLbl>
            <c:dLbl>
              <c:idx val="17"/>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E99-41B8-9A90-77E5ABE0815C}"/>
                </c:ext>
              </c:extLst>
            </c:dLbl>
            <c:dLbl>
              <c:idx val="18"/>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4B2-4686-AB89-C9C15F23647F}"/>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9"/>
              <c:pt idx="0">
                <c:v>0</c:v>
              </c:pt>
              <c:pt idx="1">
                <c:v>15</c:v>
              </c:pt>
              <c:pt idx="2">
                <c:v>10</c:v>
              </c:pt>
              <c:pt idx="3">
                <c:v>100</c:v>
              </c:pt>
              <c:pt idx="4">
                <c:v>87</c:v>
              </c:pt>
              <c:pt idx="5">
                <c:v>18</c:v>
              </c:pt>
              <c:pt idx="6">
                <c:v>27</c:v>
              </c:pt>
              <c:pt idx="7">
                <c:v>18</c:v>
              </c:pt>
              <c:pt idx="8">
                <c:v>181</c:v>
              </c:pt>
              <c:pt idx="9">
                <c:v>0</c:v>
              </c:pt>
              <c:pt idx="10">
                <c:v>10</c:v>
              </c:pt>
              <c:pt idx="11">
                <c:v>60</c:v>
              </c:pt>
              <c:pt idx="12">
                <c:v>8</c:v>
              </c:pt>
              <c:pt idx="13">
                <c:v>188</c:v>
              </c:pt>
              <c:pt idx="14">
                <c:v>14</c:v>
              </c:pt>
              <c:pt idx="15">
                <c:v>66</c:v>
              </c:pt>
              <c:pt idx="16">
                <c:v>18</c:v>
              </c:pt>
              <c:pt idx="17">
                <c:v>6</c:v>
              </c:pt>
              <c:pt idx="18">
                <c:v>11</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14h 5 min</a:t>
                    </a:r>
                  </a:p>
                  <a:p>
                    <a:r>
                      <a:rPr lang="en-US"/>
                      <a:t> 16.4%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28h 45 min</a:t>
                    </a:r>
                  </a:p>
                  <a:p>
                    <a:r>
                      <a:rPr lang="en-US"/>
                      <a:t> 33.5%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37h 50 min</a:t>
                    </a:r>
                  </a:p>
                  <a:p>
                    <a:r>
                      <a:rPr lang="en-US"/>
                      <a:t> 44.1%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5h 5 min</a:t>
                    </a:r>
                  </a:p>
                  <a:p>
                    <a:r>
                      <a:rPr lang="en-US"/>
                      <a:t> 5.9%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5"/>
              <c:pt idx="0">
                <c:v>Absences </c:v>
              </c:pt>
              <c:pt idx="1">
                <c:v>Analyse </c:v>
              </c:pt>
              <c:pt idx="2">
                <c:v>Doc </c:v>
              </c:pt>
              <c:pt idx="3">
                <c:v>Implémentation </c:v>
              </c:pt>
              <c:pt idx="4">
                <c:v>Meeting </c:v>
              </c:pt>
            </c:strLit>
          </c:cat>
          <c:val>
            <c:numLit>
              <c:formatCode>General</c:formatCode>
              <c:ptCount val="5"/>
              <c:pt idx="0">
                <c:v>0</c:v>
              </c:pt>
              <c:pt idx="1">
                <c:v>169</c:v>
              </c:pt>
              <c:pt idx="2">
                <c:v>345</c:v>
              </c:pt>
              <c:pt idx="3">
                <c:v>454</c:v>
              </c:pt>
              <c:pt idx="4">
                <c:v>61</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16h 25 min</a:t>
                    </a:r>
                  </a:p>
                  <a:p>
                    <a:r>
                      <a:rPr lang="en-US"/>
                      <a:t> 25.4%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16h 35 min</a:t>
                    </a:r>
                  </a:p>
                  <a:p>
                    <a:r>
                      <a:rPr lang="en-US"/>
                      <a:t> 25.6%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28h 50 min</a:t>
                    </a:r>
                  </a:p>
                  <a:p>
                    <a:r>
                      <a:rPr lang="en-US"/>
                      <a:t> 44.5%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2h 55 min</a:t>
                    </a:r>
                  </a:p>
                  <a:p>
                    <a:r>
                      <a:rPr lang="en-US"/>
                      <a:t> 4.5%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5"/>
              <c:pt idx="0">
                <c:v>Absences </c:v>
              </c:pt>
              <c:pt idx="1">
                <c:v>Analyse </c:v>
              </c:pt>
              <c:pt idx="2">
                <c:v>Doc </c:v>
              </c:pt>
              <c:pt idx="3">
                <c:v>Implémentation </c:v>
              </c:pt>
              <c:pt idx="4">
                <c:v>Meeting </c:v>
              </c:pt>
            </c:strLit>
          </c:cat>
          <c:val>
            <c:numLit>
              <c:formatCode>General</c:formatCode>
              <c:ptCount val="5"/>
              <c:pt idx="0">
                <c:v>0</c:v>
              </c:pt>
              <c:pt idx="1">
                <c:v>197</c:v>
              </c:pt>
              <c:pt idx="2">
                <c:v>199</c:v>
              </c:pt>
              <c:pt idx="3">
                <c:v>346</c:v>
              </c:pt>
              <c:pt idx="4">
                <c:v>35</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randomnerdtutorials.com/esp32-dht11-dht22-temperature-humidity-web-server-arduino-ide/?utm_source=chatgpt.com" TargetMode="External"/><Relationship Id="rId18" Type="http://schemas.openxmlformats.org/officeDocument/2006/relationships/hyperlink" Target="https://www.youtube.com/watch?v=z_rPvQhKTfY&amp;list=PLz5tspBvtZgEdeOTRZKBKNh-JPU4M3Dzc" TargetMode="External"/><Relationship Id="rId26" Type="http://schemas.openxmlformats.org/officeDocument/2006/relationships/hyperlink" Target="https://esp32.com/viewtopic.php?t=14166" TargetMode="External"/><Relationship Id="rId21" Type="http://schemas.openxmlformats.org/officeDocument/2006/relationships/hyperlink" Target="https://www.tutorialspoint.com/esp32_for_iot/esp32_for_iot_spiffs_storage.htm?utm_source=chatgpt.com" TargetMode="External"/><Relationship Id="rId34" Type="http://schemas.openxmlformats.org/officeDocument/2006/relationships/vmlDrawing" Target="../drawings/vmlDrawing4.vml"/><Relationship Id="rId7" Type="http://schemas.openxmlformats.org/officeDocument/2006/relationships/hyperlink" Target="https://www.espressif.com/sites/default/files/documentation/esp32-wroom-32_datasheet_en.pdf" TargetMode="External"/><Relationship Id="rId12" Type="http://schemas.openxmlformats.org/officeDocument/2006/relationships/hyperlink" Target="https://chatgpt.com/" TargetMode="External"/><Relationship Id="rId17" Type="http://schemas.openxmlformats.org/officeDocument/2006/relationships/hyperlink" Target="https://www.makeuseof.com/arduino-if-else-statement-work-how-work/" TargetMode="External"/><Relationship Id="rId25" Type="http://schemas.openxmlformats.org/officeDocument/2006/relationships/hyperlink" Target="https://www.w3schools.com/whatis/whatis_json.asp" TargetMode="External"/><Relationship Id="rId33" Type="http://schemas.openxmlformats.org/officeDocument/2006/relationships/drawing" Target="../drawings/drawing4.xml"/><Relationship Id="rId38" Type="http://schemas.openxmlformats.org/officeDocument/2006/relationships/image" Target="../media/image8.emf"/><Relationship Id="rId2" Type="http://schemas.openxmlformats.org/officeDocument/2006/relationships/hyperlink" Target="https://www.instructables.com/ESP32-With-Integrated-OLED-WEMOSLolin-Getting-Star/" TargetMode="External"/><Relationship Id="rId16" Type="http://schemas.openxmlformats.org/officeDocument/2006/relationships/hyperlink" Target="https://randomnerdtutorials.com/esp32-http-get-post-arduino/" TargetMode="External"/><Relationship Id="rId20" Type="http://schemas.openxmlformats.org/officeDocument/2006/relationships/hyperlink" Target="https://randomnerdtutorials.com/esp32-date-time-ntp-client-server-arduino/" TargetMode="External"/><Relationship Id="rId29" Type="http://schemas.openxmlformats.org/officeDocument/2006/relationships/hyperlink" Target="https://randomnerdtutorials.com/esp32-deta-base-database-arduino/" TargetMode="External"/><Relationship Id="rId1" Type="http://schemas.openxmlformats.org/officeDocument/2006/relationships/hyperlink" Target="https://esp32io.com/tutorials/esp32-automatic-irrigation-system" TargetMode="External"/><Relationship Id="rId6" Type="http://schemas.openxmlformats.org/officeDocument/2006/relationships/hyperlink" Target="https://www.electronicwings.com/esp32/soil-moisture-sensor-interfacing-with-esp32" TargetMode="External"/><Relationship Id="rId11" Type="http://schemas.openxmlformats.org/officeDocument/2006/relationships/hyperlink" Target="https://randomnerdtutorials.com/esp32-web-server-arduino-ide/" TargetMode="External"/><Relationship Id="rId24" Type="http://schemas.openxmlformats.org/officeDocument/2006/relationships/hyperlink" Target="https://www.youtube.com/watch?v=jXEVZga9l1s" TargetMode="External"/><Relationship Id="rId32" Type="http://schemas.openxmlformats.org/officeDocument/2006/relationships/printerSettings" Target="../printerSettings/printerSettings4.bin"/><Relationship Id="rId37" Type="http://schemas.openxmlformats.org/officeDocument/2006/relationships/control" Target="../activeX/activeX7.xml"/><Relationship Id="rId5" Type="http://schemas.openxmlformats.org/officeDocument/2006/relationships/hyperlink" Target="https://www.electronicwings.com/esp32/soil-moisture-sensor-interfacing-with-esp32" TargetMode="External"/><Relationship Id="rId15" Type="http://schemas.openxmlformats.org/officeDocument/2006/relationships/hyperlink" Target="https://www.figma.com/" TargetMode="External"/><Relationship Id="rId23" Type="http://schemas.openxmlformats.org/officeDocument/2006/relationships/hyperlink" Target="https://www.youtube.com/watch?v=PAZUG7oSAwA&amp;t=134s" TargetMode="External"/><Relationship Id="rId28" Type="http://schemas.openxmlformats.org/officeDocument/2006/relationships/hyperlink" Target="https://www.youtube.com/watch?v=sMSfvfKkc6U" TargetMode="External"/><Relationship Id="rId36" Type="http://schemas.openxmlformats.org/officeDocument/2006/relationships/image" Target="../media/image7.emf"/><Relationship Id="rId10" Type="http://schemas.openxmlformats.org/officeDocument/2006/relationships/hyperlink" Target="https://youtu.be/ApGwxX6VVzk?si=yGxZHjgSGOKn_XMV" TargetMode="External"/><Relationship Id="rId19" Type="http://schemas.openxmlformats.org/officeDocument/2006/relationships/hyperlink" Target="https://www.youtube.com/watch?v=NYP_CxdYzLo&amp;ab_channel=BrianLough" TargetMode="External"/><Relationship Id="rId31" Type="http://schemas.openxmlformats.org/officeDocument/2006/relationships/hyperlink" Target="https://chatgpt.com/" TargetMode="External"/><Relationship Id="rId4" Type="http://schemas.openxmlformats.org/officeDocument/2006/relationships/hyperlink" Target="https://www.electronicwings.com/esp32/soil-moisture-sensor-interfacing-with-esp32" TargetMode="External"/><Relationship Id="rId9" Type="http://schemas.openxmlformats.org/officeDocument/2006/relationships/hyperlink" Target="https://www.dzduino.com/Blog%20Dzduino/Serveur%20Web%20ESP32%20DHT11%20d'Humidit%C3%A9%20et%20de%20Temp%C3%A9rature?srsltid=AfmBOooGahKLRhdGz916kr0rJWpch8FyarBc8AaBYqB6lWOn0BnsIYMx" TargetMode="External"/><Relationship Id="rId14" Type="http://schemas.openxmlformats.org/officeDocument/2006/relationships/hyperlink" Target="https://forum.arduino.cc/t/relay-songle-srd-05vdc-sl-c-10a/574537/8" TargetMode="External"/><Relationship Id="rId22" Type="http://schemas.openxmlformats.org/officeDocument/2006/relationships/hyperlink" Target="https://forum.arduino.cc/t/esp32-afficher-la-date-et-lheure-sur-la-console-arduino/1059753/11" TargetMode="External"/><Relationship Id="rId27" Type="http://schemas.openxmlformats.org/officeDocument/2006/relationships/hyperlink" Target="https://chatgpt.com/" TargetMode="External"/><Relationship Id="rId30" Type="http://schemas.openxmlformats.org/officeDocument/2006/relationships/hyperlink" Target="https://raspberrypi.stackexchange.com/questions/73311/using-single-5v-relay-jqc-3ff-s-z-safety-advice-required" TargetMode="External"/><Relationship Id="rId35" Type="http://schemas.openxmlformats.org/officeDocument/2006/relationships/control" Target="../activeX/activeX6.xml"/><Relationship Id="rId8" Type="http://schemas.openxmlformats.org/officeDocument/2006/relationships/hyperlink" Target="https://www.espressif.com/sites/default/files/documentation/esp32-wroom-32_datasheet_en.pdf" TargetMode="External"/><Relationship Id="rId3" Type="http://schemas.openxmlformats.org/officeDocument/2006/relationships/hyperlink" Target="https://www.youtube.com/watch?v=hr_6_xS2SZ4"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9" zoomScale="70" zoomScaleNormal="70" workbookViewId="0">
      <selection activeCell="O64" sqref="O64"/>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08" t="s">
        <v>0</v>
      </c>
      <c r="C45" s="208"/>
      <c r="D45" s="208"/>
      <c r="E45" s="139" t="s">
        <v>143</v>
      </c>
      <c r="G45" s="209" t="s">
        <v>1</v>
      </c>
      <c r="H45" s="209"/>
      <c r="I45" s="209"/>
      <c r="J45" s="140" t="s">
        <v>249</v>
      </c>
      <c r="L45" s="210" t="s">
        <v>2</v>
      </c>
      <c r="M45" s="210"/>
      <c r="N45" s="211" t="s">
        <v>250</v>
      </c>
      <c r="O45" s="212"/>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M99"/>
  <sheetViews>
    <sheetView showGridLines="0" topLeftCell="A59" zoomScale="70" zoomScaleNormal="70" zoomScaleSheetLayoutView="43" workbookViewId="0">
      <selection activeCell="F94" sqref="F94:BJL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384" width="11.42578125" style="2"/>
  </cols>
  <sheetData>
    <row r="1" spans="1:1625" ht="35.1" customHeight="1" x14ac:dyDescent="0.25">
      <c r="B1" s="141"/>
      <c r="C1" s="244" t="s">
        <v>3</v>
      </c>
      <c r="D1" s="244"/>
      <c r="E1" s="24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row>
    <row r="2" spans="1:1625"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row>
    <row r="3" spans="1:1625" ht="30" customHeight="1" x14ac:dyDescent="0.25">
      <c r="B3" s="51"/>
      <c r="C3" s="5" t="s">
        <v>4</v>
      </c>
      <c r="D3" s="113"/>
      <c r="E3" s="6" t="s">
        <v>73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row>
    <row r="4" spans="1:1625"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row>
    <row r="5" spans="1:1625" ht="30" customHeight="1" x14ac:dyDescent="0.25">
      <c r="B5" s="51"/>
      <c r="C5" s="9" t="s">
        <v>6</v>
      </c>
      <c r="D5" s="114"/>
      <c r="E5" s="10" t="s">
        <v>65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row>
    <row r="6" spans="1:1625"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row>
    <row r="7" spans="1:1625" ht="20.100000000000001" customHeight="1" thickBot="1" x14ac:dyDescent="0.3">
      <c r="B7" s="51"/>
      <c r="C7" s="245"/>
      <c r="D7" s="245"/>
      <c r="E7" s="24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row>
    <row r="8" spans="1:1625" ht="30" customHeight="1" x14ac:dyDescent="0.25">
      <c r="B8" s="51"/>
      <c r="C8" s="5" t="s">
        <v>9</v>
      </c>
      <c r="D8" s="113"/>
      <c r="E8" s="6" t="s">
        <v>72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row>
    <row r="9" spans="1:1625" ht="30" customHeight="1" x14ac:dyDescent="0.25">
      <c r="B9" s="51"/>
      <c r="C9" s="9" t="s">
        <v>10</v>
      </c>
      <c r="D9" s="114"/>
      <c r="E9" s="10" t="s">
        <v>11</v>
      </c>
      <c r="F9" s="11"/>
      <c r="G9" s="242" t="str">
        <f>E96</f>
        <v>89h 55 min</v>
      </c>
      <c r="H9" s="242"/>
      <c r="I9" s="242"/>
      <c r="J9" s="242"/>
      <c r="K9" s="242"/>
      <c r="L9" s="242"/>
      <c r="M9" s="242"/>
      <c r="N9" s="242"/>
      <c r="O9" s="242"/>
      <c r="P9" s="242"/>
      <c r="Q9" s="242"/>
      <c r="R9" s="242"/>
      <c r="S9" s="242"/>
      <c r="T9" s="242"/>
      <c r="U9" s="242"/>
      <c r="V9" s="94"/>
      <c r="W9" s="243" t="s">
        <v>12</v>
      </c>
      <c r="X9" s="243"/>
      <c r="Y9" s="243"/>
      <c r="Z9" s="243"/>
      <c r="AA9" s="243"/>
      <c r="AB9" s="243"/>
      <c r="AC9" s="243"/>
      <c r="AD9" s="243"/>
      <c r="AE9" s="243"/>
      <c r="AF9" s="243"/>
      <c r="AG9" s="243"/>
      <c r="AH9" s="242" t="str">
        <f>E98</f>
        <v>69h 45 min</v>
      </c>
      <c r="AI9" s="242"/>
      <c r="AJ9" s="242"/>
      <c r="AK9" s="242"/>
      <c r="AL9" s="242"/>
      <c r="AM9" s="242"/>
      <c r="AN9" s="242"/>
      <c r="AO9" s="242"/>
      <c r="AP9" s="242"/>
      <c r="AQ9" s="242"/>
      <c r="AR9" s="242"/>
      <c r="AS9" s="242"/>
      <c r="AT9" s="242"/>
      <c r="AU9" s="242"/>
      <c r="AV9" s="242"/>
      <c r="AW9" s="242"/>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row>
    <row r="10" spans="1:1625"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1"/>
      <c r="BO10" s="241"/>
      <c r="BP10" s="241"/>
      <c r="BQ10" s="241"/>
      <c r="BR10" s="241"/>
      <c r="BS10" s="241"/>
      <c r="BT10" s="241"/>
      <c r="BU10" s="241"/>
      <c r="BV10" s="241"/>
      <c r="BW10" s="241"/>
      <c r="BX10" s="241"/>
      <c r="BY10" s="241"/>
      <c r="BZ10" s="241"/>
      <c r="CA10" s="241"/>
      <c r="CB10" s="241"/>
      <c r="CC10" s="241"/>
      <c r="CD10" s="241"/>
      <c r="CE10" s="241"/>
      <c r="CF10" s="241"/>
      <c r="CG10" s="241"/>
      <c r="CH10" s="241"/>
      <c r="CI10" s="241"/>
      <c r="CJ10" s="241"/>
      <c r="CK10" s="241"/>
      <c r="CL10" s="241"/>
      <c r="CM10" s="241"/>
      <c r="CN10" s="241"/>
      <c r="CO10" s="241"/>
      <c r="CP10" s="241"/>
      <c r="CQ10" s="75"/>
      <c r="CR10" s="213"/>
      <c r="CS10" s="213"/>
      <c r="CT10" s="213"/>
      <c r="CU10" s="213"/>
      <c r="CV10" s="213"/>
      <c r="CW10" s="213"/>
      <c r="CX10" s="213"/>
      <c r="CY10" s="213"/>
      <c r="CZ10" s="213"/>
      <c r="DA10" s="213"/>
      <c r="DB10" s="213"/>
      <c r="DC10" s="213"/>
      <c r="DD10" s="213"/>
      <c r="DE10" s="213"/>
      <c r="DF10" s="213"/>
      <c r="DG10" s="213"/>
      <c r="DH10" s="213"/>
      <c r="DI10" s="213"/>
      <c r="DJ10" s="213"/>
      <c r="DK10" s="213"/>
      <c r="DL10" s="213"/>
      <c r="DM10" s="213"/>
      <c r="DN10" s="213"/>
      <c r="DO10" s="213"/>
      <c r="DP10" s="213"/>
      <c r="DQ10" s="213"/>
      <c r="DR10" s="213"/>
      <c r="DS10" s="213"/>
      <c r="DT10" s="213"/>
      <c r="DU10" s="213"/>
      <c r="DV10" s="213"/>
      <c r="DW10" s="213"/>
      <c r="DX10" s="213"/>
      <c r="DY10" s="213"/>
      <c r="DZ10" s="213"/>
      <c r="EA10" s="213"/>
      <c r="EB10" s="213"/>
      <c r="EC10" s="213"/>
      <c r="ED10" s="213"/>
      <c r="EE10" s="213"/>
      <c r="EF10" s="213"/>
      <c r="EG10" s="213"/>
      <c r="EH10" s="213"/>
      <c r="EI10" s="213"/>
      <c r="EJ10" s="213"/>
      <c r="EK10" s="213"/>
      <c r="EL10" s="213"/>
      <c r="EM10" s="213"/>
      <c r="EN10" s="213"/>
      <c r="EO10" s="213"/>
      <c r="EP10" s="213"/>
      <c r="EQ10" s="213"/>
      <c r="ER10" s="213"/>
      <c r="ES10" s="213"/>
      <c r="ET10" s="213"/>
      <c r="EU10" s="213"/>
      <c r="EV10" s="213"/>
      <c r="EW10" s="213"/>
      <c r="EX10" s="213"/>
      <c r="EY10" s="213"/>
      <c r="EZ10" s="213"/>
      <c r="FA10" s="213"/>
      <c r="FB10" s="213"/>
      <c r="FC10" s="213"/>
      <c r="FD10" s="213"/>
      <c r="FE10" s="213"/>
      <c r="FF10" s="213"/>
      <c r="FG10" s="213"/>
      <c r="FH10" s="213"/>
      <c r="FI10" s="213"/>
      <c r="FJ10" s="213"/>
      <c r="FK10" s="213"/>
      <c r="FL10" s="213"/>
      <c r="FM10" s="213"/>
      <c r="FN10" s="213"/>
      <c r="FO10" s="213"/>
      <c r="FP10" s="213"/>
      <c r="FQ10" s="213"/>
      <c r="FR10" s="213"/>
      <c r="FS10" s="213"/>
      <c r="FT10" s="213"/>
      <c r="FU10" s="213"/>
      <c r="FV10" s="213"/>
      <c r="FW10" s="213"/>
      <c r="FX10" s="213"/>
      <c r="FY10" s="213"/>
      <c r="FZ10" s="213"/>
      <c r="GA10" s="213"/>
      <c r="GB10" s="213"/>
      <c r="GC10" s="213"/>
      <c r="GD10" s="213"/>
      <c r="GE10" s="213"/>
      <c r="GF10" s="213"/>
      <c r="GG10" s="213"/>
      <c r="GH10" s="213"/>
      <c r="GI10" s="213"/>
      <c r="GJ10" s="213"/>
      <c r="GK10" s="213"/>
      <c r="GL10" s="213"/>
      <c r="GM10" s="213"/>
      <c r="GN10" s="213"/>
      <c r="GO10" s="213"/>
      <c r="GP10" s="213"/>
      <c r="GQ10" s="213"/>
      <c r="GR10" s="213"/>
      <c r="GS10" s="213"/>
      <c r="GT10" s="213"/>
      <c r="GU10" s="213"/>
      <c r="GV10" s="213"/>
      <c r="GW10" s="213"/>
      <c r="GX10" s="213"/>
      <c r="GY10" s="213"/>
      <c r="GZ10" s="213"/>
      <c r="HA10" s="213"/>
      <c r="HB10" s="213"/>
      <c r="HC10" s="213"/>
      <c r="HD10" s="213"/>
      <c r="HE10" s="213"/>
      <c r="HF10" s="213"/>
      <c r="HG10" s="213"/>
      <c r="HH10" s="213"/>
      <c r="HI10" s="213"/>
      <c r="HJ10" s="213"/>
      <c r="HK10" s="213"/>
      <c r="HL10" s="213"/>
      <c r="HM10" s="213"/>
      <c r="HN10" s="213"/>
      <c r="HO10" s="213"/>
      <c r="HP10" s="213"/>
      <c r="HQ10" s="213"/>
      <c r="HR10" s="213"/>
      <c r="HS10" s="213"/>
      <c r="HT10" s="213"/>
      <c r="HU10" s="213"/>
      <c r="HV10" s="213"/>
      <c r="HW10" s="213"/>
      <c r="HX10" s="213"/>
      <c r="HY10" s="213"/>
      <c r="HZ10" s="213"/>
      <c r="IA10" s="213"/>
      <c r="IB10" s="213"/>
      <c r="IC10" s="213"/>
      <c r="ID10" s="213"/>
      <c r="IE10" s="213"/>
      <c r="IF10" s="213"/>
      <c r="IG10" s="213"/>
      <c r="IH10" s="213"/>
      <c r="II10" s="213"/>
      <c r="IJ10" s="213"/>
      <c r="IK10" s="213"/>
      <c r="IL10" s="213"/>
      <c r="IM10" s="213"/>
      <c r="IN10" s="213"/>
      <c r="IO10" s="213"/>
      <c r="IP10" s="213"/>
      <c r="IQ10" s="213"/>
      <c r="IR10" s="213"/>
      <c r="IS10" s="213"/>
      <c r="IT10" s="213"/>
      <c r="IU10" s="213"/>
      <c r="IV10" s="213"/>
      <c r="IW10" s="213"/>
      <c r="IX10" s="213"/>
      <c r="IY10" s="213"/>
      <c r="IZ10" s="213"/>
      <c r="JA10" s="213"/>
      <c r="JB10" s="213"/>
      <c r="JC10" s="213"/>
      <c r="JD10" s="213"/>
      <c r="JE10" s="213"/>
      <c r="JF10" s="213"/>
      <c r="JG10" s="213"/>
      <c r="JH10" s="213"/>
      <c r="JI10" s="213"/>
      <c r="JJ10" s="213"/>
      <c r="JK10" s="213"/>
      <c r="JL10" s="213"/>
      <c r="JM10" s="213"/>
      <c r="JN10" s="213"/>
      <c r="JO10" s="213"/>
      <c r="JP10" s="213"/>
      <c r="JQ10" s="213"/>
      <c r="JR10" s="213"/>
      <c r="JS10" s="213"/>
      <c r="JT10" s="213"/>
      <c r="JU10" s="213"/>
      <c r="JV10" s="213"/>
      <c r="JW10" s="213"/>
      <c r="JX10" s="213"/>
      <c r="JY10" s="213"/>
      <c r="JZ10" s="213"/>
      <c r="KA10" s="213"/>
      <c r="KB10" s="213"/>
      <c r="KC10" s="213"/>
      <c r="KD10" s="213"/>
      <c r="KE10" s="213"/>
      <c r="KF10" s="213"/>
      <c r="KG10" s="213"/>
      <c r="KH10" s="213"/>
      <c r="KI10" s="213"/>
      <c r="KJ10" s="213"/>
      <c r="KK10" s="213"/>
      <c r="KL10" s="213"/>
      <c r="KM10" s="213"/>
      <c r="KN10" s="213"/>
      <c r="KO10" s="213"/>
      <c r="KP10" s="213"/>
      <c r="KQ10" s="213"/>
      <c r="KR10" s="213"/>
      <c r="KS10" s="213"/>
      <c r="KT10" s="213"/>
      <c r="KU10" s="213"/>
      <c r="KV10" s="213"/>
      <c r="KW10" s="213"/>
      <c r="KX10" s="213"/>
      <c r="KY10" s="213"/>
      <c r="KZ10" s="213"/>
      <c r="LA10" s="213"/>
      <c r="LB10" s="213"/>
      <c r="LC10" s="213"/>
      <c r="LD10" s="213"/>
      <c r="LE10" s="213"/>
      <c r="LF10" s="213"/>
      <c r="LG10" s="213"/>
      <c r="LH10" s="213"/>
      <c r="LI10" s="213"/>
      <c r="LJ10" s="213"/>
      <c r="LK10" s="213"/>
      <c r="LL10" s="213"/>
      <c r="LM10" s="213"/>
      <c r="LN10" s="213"/>
      <c r="LO10" s="213"/>
      <c r="LP10" s="213"/>
      <c r="LQ10" s="213"/>
      <c r="LR10" s="213"/>
      <c r="LS10" s="213"/>
      <c r="LT10" s="213"/>
      <c r="LU10" s="213"/>
      <c r="LV10" s="213"/>
      <c r="LW10" s="213"/>
      <c r="LX10" s="213"/>
      <c r="LY10" s="213"/>
      <c r="LZ10" s="213"/>
      <c r="MA10" s="213"/>
      <c r="MB10" s="213"/>
      <c r="MC10" s="213"/>
      <c r="MD10" s="213"/>
      <c r="ME10" s="213"/>
      <c r="MF10" s="213"/>
      <c r="MG10" s="213"/>
      <c r="MH10" s="213"/>
      <c r="MI10" s="213"/>
      <c r="MJ10" s="213"/>
      <c r="MK10" s="213"/>
      <c r="ML10" s="213"/>
      <c r="MM10" s="213"/>
      <c r="MN10" s="213"/>
      <c r="MO10" s="213"/>
      <c r="MP10" s="213"/>
      <c r="MQ10" s="213"/>
      <c r="MR10" s="213"/>
      <c r="MS10" s="213"/>
      <c r="MT10" s="213"/>
      <c r="MU10" s="213"/>
      <c r="MV10" s="213"/>
      <c r="MW10" s="213"/>
      <c r="MX10" s="213"/>
      <c r="MY10" s="213"/>
      <c r="MZ10" s="213"/>
      <c r="NA10" s="213"/>
      <c r="NB10" s="213"/>
      <c r="NC10" s="213"/>
      <c r="ND10" s="213"/>
      <c r="NE10" s="213"/>
      <c r="NF10" s="213"/>
      <c r="NG10" s="213"/>
      <c r="NH10" s="213"/>
      <c r="NI10" s="213"/>
      <c r="NJ10" s="213"/>
      <c r="NK10" s="213"/>
      <c r="NL10" s="213"/>
      <c r="NM10" s="213"/>
      <c r="NN10" s="213"/>
      <c r="NO10" s="213"/>
      <c r="NP10" s="213"/>
      <c r="NQ10" s="213"/>
      <c r="NR10" s="213"/>
      <c r="NS10" s="213"/>
      <c r="NT10" s="213"/>
      <c r="NU10" s="213"/>
      <c r="NV10" s="213"/>
      <c r="NW10" s="213"/>
      <c r="NX10" s="213"/>
      <c r="NY10" s="213"/>
      <c r="NZ10" s="213"/>
      <c r="OA10" s="213"/>
      <c r="OB10" s="213"/>
      <c r="OC10" s="213"/>
      <c r="OD10" s="213"/>
      <c r="OE10" s="213"/>
      <c r="OF10" s="213"/>
      <c r="OG10" s="213"/>
      <c r="OH10" s="213"/>
      <c r="OI10" s="213"/>
      <c r="OJ10" s="213"/>
      <c r="OK10" s="213"/>
      <c r="OL10" s="213"/>
      <c r="OM10" s="213"/>
      <c r="ON10" s="213"/>
      <c r="OO10" s="213"/>
      <c r="OP10" s="213"/>
      <c r="OQ10" s="213"/>
      <c r="OR10" s="213"/>
      <c r="OS10" s="213"/>
      <c r="OT10" s="213"/>
      <c r="OU10" s="213"/>
      <c r="OV10" s="213"/>
      <c r="OW10" s="213"/>
      <c r="OX10" s="213"/>
      <c r="OY10" s="213"/>
      <c r="OZ10" s="213"/>
      <c r="PA10" s="213"/>
      <c r="PB10" s="213"/>
      <c r="PC10" s="213"/>
      <c r="PD10" s="213"/>
      <c r="PE10" s="213"/>
      <c r="PF10" s="213"/>
      <c r="PG10" s="213"/>
      <c r="PH10" s="213"/>
      <c r="PI10" s="213"/>
      <c r="PJ10" s="213"/>
      <c r="PK10" s="213"/>
      <c r="PL10" s="213"/>
      <c r="PM10" s="213"/>
      <c r="PN10" s="213"/>
      <c r="PO10" s="213"/>
      <c r="PP10" s="213"/>
      <c r="PQ10" s="213"/>
      <c r="PR10" s="213"/>
      <c r="PS10" s="213"/>
      <c r="PT10" s="213"/>
      <c r="PU10" s="213"/>
      <c r="PV10" s="213"/>
      <c r="PW10" s="213"/>
      <c r="PX10" s="213"/>
      <c r="PY10" s="213"/>
      <c r="PZ10" s="213"/>
      <c r="QA10" s="213"/>
      <c r="QB10" s="213"/>
      <c r="QC10" s="213"/>
      <c r="QD10" s="213"/>
      <c r="QE10" s="213"/>
      <c r="QF10" s="213"/>
      <c r="QG10" s="213"/>
      <c r="QH10" s="213"/>
      <c r="QI10" s="213"/>
      <c r="QJ10" s="213"/>
      <c r="QK10" s="213"/>
      <c r="QL10" s="213"/>
      <c r="QM10" s="213"/>
      <c r="QN10" s="213"/>
      <c r="QO10" s="213"/>
      <c r="QP10" s="213"/>
      <c r="QQ10" s="213"/>
      <c r="QR10" s="213"/>
      <c r="QS10" s="213"/>
      <c r="QT10" s="213"/>
      <c r="QU10" s="213"/>
      <c r="QV10" s="213"/>
      <c r="QW10" s="213"/>
      <c r="QX10" s="213"/>
      <c r="QY10" s="213"/>
      <c r="QZ10" s="213"/>
      <c r="RA10" s="213"/>
      <c r="RB10" s="213"/>
      <c r="RC10" s="213"/>
      <c r="RD10" s="213"/>
      <c r="RE10" s="213"/>
      <c r="RF10" s="213"/>
      <c r="RG10" s="213"/>
      <c r="RH10" s="213"/>
      <c r="RI10" s="213"/>
      <c r="RJ10" s="213"/>
      <c r="RK10" s="213"/>
      <c r="RL10" s="213"/>
      <c r="RM10" s="213"/>
      <c r="RN10" s="213"/>
      <c r="RO10" s="213"/>
      <c r="RP10" s="213"/>
      <c r="RQ10" s="213"/>
      <c r="RR10" s="213"/>
      <c r="RS10" s="213"/>
      <c r="RT10" s="213"/>
      <c r="RU10" s="213"/>
      <c r="RV10" s="213"/>
      <c r="RW10" s="213"/>
      <c r="RX10" s="213"/>
      <c r="RY10" s="213"/>
      <c r="RZ10" s="213"/>
      <c r="SA10" s="213"/>
      <c r="SB10" s="213"/>
      <c r="SC10" s="213"/>
      <c r="SD10" s="213"/>
      <c r="SE10" s="213"/>
      <c r="SF10" s="213"/>
      <c r="SG10" s="213"/>
      <c r="SH10" s="213"/>
      <c r="SI10" s="213"/>
      <c r="SJ10" s="213"/>
      <c r="SK10" s="213"/>
      <c r="SL10" s="213"/>
      <c r="SM10" s="213"/>
      <c r="SN10" s="213"/>
      <c r="SO10" s="213"/>
      <c r="SP10" s="213"/>
      <c r="SQ10" s="213"/>
      <c r="SR10" s="213"/>
      <c r="SS10" s="213"/>
      <c r="ST10" s="213"/>
      <c r="SU10" s="213"/>
      <c r="SV10" s="213"/>
      <c r="SW10" s="213"/>
      <c r="SX10" s="213"/>
      <c r="SY10" s="213"/>
      <c r="SZ10" s="213"/>
      <c r="TA10" s="213"/>
      <c r="TB10" s="213"/>
      <c r="TC10" s="213"/>
      <c r="TD10" s="213"/>
      <c r="TE10" s="213"/>
      <c r="TF10" s="213"/>
      <c r="TG10" s="213"/>
      <c r="TH10" s="213"/>
      <c r="TI10" s="213"/>
      <c r="TJ10" s="213"/>
      <c r="TK10" s="213"/>
      <c r="TL10" s="213"/>
      <c r="TM10" s="213"/>
      <c r="TN10" s="213"/>
      <c r="TO10" s="213"/>
      <c r="TP10" s="213"/>
      <c r="TQ10" s="213"/>
      <c r="TR10" s="213"/>
      <c r="TS10" s="213"/>
      <c r="TT10" s="213"/>
      <c r="TU10" s="213"/>
      <c r="TV10" s="213"/>
      <c r="TW10" s="213"/>
      <c r="TX10" s="213"/>
      <c r="TY10" s="213"/>
      <c r="TZ10" s="213"/>
      <c r="UA10" s="213"/>
      <c r="UB10" s="213"/>
      <c r="UC10" s="213"/>
      <c r="UD10" s="213"/>
      <c r="UE10" s="213"/>
      <c r="UF10" s="213"/>
      <c r="UG10" s="213"/>
      <c r="UH10" s="213"/>
      <c r="UI10" s="213"/>
      <c r="UJ10" s="213"/>
      <c r="UK10" s="213"/>
      <c r="UL10" s="213"/>
      <c r="UM10" s="213"/>
      <c r="UN10" s="213"/>
      <c r="UO10" s="213"/>
      <c r="UP10" s="213"/>
      <c r="UQ10" s="213"/>
      <c r="UR10" s="213"/>
      <c r="US10" s="213"/>
      <c r="UT10" s="213"/>
      <c r="UU10" s="213"/>
      <c r="UV10" s="213"/>
      <c r="UW10" s="213"/>
      <c r="UX10" s="213"/>
      <c r="UY10" s="213"/>
      <c r="UZ10" s="213"/>
      <c r="VA10" s="213"/>
      <c r="VB10" s="213"/>
      <c r="VC10" s="213"/>
      <c r="VD10" s="213"/>
      <c r="VE10" s="213"/>
      <c r="VF10" s="213"/>
      <c r="VG10" s="213"/>
      <c r="VH10" s="213"/>
      <c r="VI10" s="213"/>
      <c r="VJ10" s="213"/>
      <c r="VK10" s="213"/>
      <c r="VL10" s="213"/>
      <c r="VM10" s="213"/>
      <c r="VN10" s="213"/>
      <c r="VO10" s="213"/>
      <c r="VP10" s="213"/>
      <c r="VQ10" s="213"/>
      <c r="VR10" s="213"/>
      <c r="VS10" s="213"/>
      <c r="VT10" s="213"/>
      <c r="VU10" s="213"/>
      <c r="VV10" s="213"/>
      <c r="VW10" s="213"/>
      <c r="VX10" s="213"/>
      <c r="VY10" s="213"/>
      <c r="VZ10" s="213"/>
      <c r="WA10" s="213"/>
      <c r="WB10" s="213"/>
      <c r="WC10" s="213"/>
      <c r="WD10" s="213"/>
      <c r="WE10" s="213"/>
      <c r="WF10" s="213"/>
      <c r="WG10" s="213"/>
      <c r="WH10" s="213"/>
      <c r="WI10" s="213"/>
      <c r="WJ10" s="213"/>
      <c r="WK10" s="213"/>
      <c r="WL10" s="213"/>
      <c r="WM10" s="213"/>
      <c r="WN10" s="213"/>
      <c r="WO10" s="213"/>
      <c r="WP10" s="213"/>
      <c r="WQ10" s="213"/>
      <c r="WR10" s="213"/>
      <c r="WS10" s="213"/>
      <c r="WT10" s="213"/>
      <c r="WU10" s="213"/>
      <c r="WV10" s="213"/>
      <c r="WW10" s="213"/>
      <c r="WX10" s="213"/>
      <c r="WY10" s="213"/>
      <c r="WZ10" s="213"/>
      <c r="XA10" s="213"/>
      <c r="XB10" s="213"/>
      <c r="XC10" s="213"/>
      <c r="XD10" s="213"/>
      <c r="XE10" s="213"/>
      <c r="XF10" s="213"/>
      <c r="XG10" s="213"/>
      <c r="XH10" s="213"/>
      <c r="XI10" s="213"/>
      <c r="XJ10" s="213"/>
      <c r="XK10" s="213"/>
      <c r="XL10" s="213"/>
      <c r="XM10" s="213"/>
      <c r="XN10" s="213"/>
      <c r="XO10" s="213"/>
      <c r="XP10" s="213"/>
      <c r="XQ10" s="213"/>
      <c r="XR10" s="213"/>
      <c r="XS10" s="213"/>
      <c r="XT10" s="213"/>
      <c r="XU10" s="213"/>
      <c r="XV10" s="213"/>
      <c r="XW10" s="213"/>
      <c r="XX10" s="213"/>
      <c r="XY10" s="213"/>
      <c r="XZ10" s="213"/>
      <c r="YA10" s="213"/>
      <c r="YB10" s="213"/>
      <c r="YC10" s="213"/>
      <c r="YD10" s="213"/>
      <c r="YE10" s="213"/>
      <c r="YF10" s="213"/>
      <c r="YG10" s="213"/>
      <c r="YH10" s="213"/>
      <c r="YI10" s="213"/>
      <c r="YJ10" s="213"/>
      <c r="YK10" s="213"/>
      <c r="YL10" s="213"/>
      <c r="YM10" s="213"/>
      <c r="YN10" s="213"/>
      <c r="YO10" s="213"/>
      <c r="YP10" s="213"/>
      <c r="YQ10" s="213"/>
      <c r="YR10" s="213"/>
      <c r="YS10" s="213"/>
      <c r="YT10" s="213"/>
      <c r="YU10" s="213"/>
      <c r="YV10" s="213"/>
      <c r="YW10" s="213"/>
      <c r="YX10" s="213"/>
      <c r="YY10" s="213"/>
      <c r="YZ10" s="213"/>
      <c r="ZA10" s="213"/>
      <c r="ZB10" s="213"/>
      <c r="ZC10" s="213"/>
      <c r="ZD10" s="213"/>
      <c r="ZE10" s="213"/>
      <c r="ZF10" s="213"/>
      <c r="ZG10" s="213"/>
      <c r="ZH10" s="213"/>
      <c r="ZI10" s="213"/>
      <c r="ZJ10" s="213"/>
      <c r="ZK10" s="213"/>
      <c r="ZL10" s="213"/>
      <c r="ZM10" s="213"/>
      <c r="ZN10" s="213"/>
      <c r="ZO10" s="213"/>
      <c r="ZP10" s="213"/>
      <c r="ZQ10" s="213"/>
      <c r="ZR10" s="213"/>
      <c r="ZS10" s="213"/>
      <c r="ZT10" s="213"/>
      <c r="ZU10" s="213"/>
      <c r="ZV10" s="213"/>
      <c r="ZW10" s="213"/>
      <c r="ZX10" s="213"/>
      <c r="ZY10" s="213"/>
      <c r="ZZ10" s="213"/>
      <c r="AAA10" s="213"/>
      <c r="AAB10" s="213"/>
      <c r="AAC10" s="213"/>
      <c r="AAD10" s="213"/>
      <c r="AAE10" s="213"/>
      <c r="AAF10" s="213"/>
      <c r="AAG10" s="213"/>
      <c r="AAH10" s="213"/>
      <c r="AAI10" s="213"/>
      <c r="AAJ10" s="213"/>
      <c r="AAK10" s="213"/>
      <c r="AAL10" s="213"/>
      <c r="AAM10" s="213"/>
      <c r="AAN10" s="213"/>
      <c r="AAO10" s="213"/>
      <c r="AAP10" s="213"/>
      <c r="AAQ10" s="213"/>
      <c r="AAR10" s="213"/>
      <c r="AAS10" s="213"/>
      <c r="AAT10" s="213"/>
      <c r="AAU10" s="213"/>
      <c r="AAV10" s="213"/>
      <c r="AAW10" s="213"/>
      <c r="AAX10" s="213"/>
      <c r="AAY10" s="213"/>
      <c r="AAZ10" s="213"/>
      <c r="ABA10" s="213"/>
      <c r="ABB10" s="213"/>
      <c r="ABC10" s="213"/>
      <c r="ABD10" s="213"/>
      <c r="ABE10" s="213"/>
      <c r="ABF10" s="213"/>
      <c r="ABG10" s="213"/>
      <c r="ABH10" s="213"/>
      <c r="ABI10" s="213"/>
      <c r="ABJ10" s="213"/>
      <c r="ABK10" s="213"/>
      <c r="ABL10" s="213"/>
      <c r="ABM10" s="213"/>
      <c r="ABN10" s="213"/>
      <c r="ABO10" s="213"/>
      <c r="ABP10" s="213"/>
      <c r="ABQ10" s="213"/>
      <c r="ABR10" s="213"/>
      <c r="ABS10" s="213"/>
      <c r="ABT10" s="213"/>
      <c r="ABU10" s="213"/>
      <c r="ABV10" s="213"/>
      <c r="ABW10" s="213"/>
      <c r="ABX10" s="213"/>
      <c r="ABY10" s="213"/>
      <c r="ABZ10" s="213"/>
      <c r="ACA10" s="213"/>
      <c r="ACB10" s="213"/>
      <c r="ACC10" s="213"/>
      <c r="ACD10" s="213"/>
      <c r="ACE10" s="213"/>
      <c r="ACF10" s="213"/>
      <c r="ACG10" s="213"/>
      <c r="ACH10" s="213"/>
      <c r="ACI10" s="213"/>
      <c r="ACJ10" s="213"/>
      <c r="ACK10" s="213"/>
      <c r="ACL10" s="213"/>
      <c r="ACM10" s="213"/>
      <c r="ACN10" s="213"/>
      <c r="ACO10" s="213"/>
      <c r="ACP10" s="213"/>
      <c r="ACQ10" s="213"/>
      <c r="ACR10" s="213"/>
      <c r="ACS10" s="213"/>
      <c r="ACT10" s="213"/>
      <c r="ACU10" s="213"/>
      <c r="ACV10" s="213"/>
      <c r="ACW10" s="213"/>
      <c r="ACX10" s="213"/>
      <c r="ACY10" s="213"/>
      <c r="ACZ10" s="213"/>
      <c r="ADA10" s="213"/>
      <c r="ADB10" s="213"/>
      <c r="ADC10" s="213"/>
      <c r="ADD10" s="213"/>
      <c r="ADE10" s="213"/>
      <c r="ADF10" s="213"/>
      <c r="ADG10" s="213"/>
      <c r="ADH10" s="213"/>
      <c r="ADI10" s="213"/>
      <c r="ADJ10" s="213"/>
      <c r="ADK10" s="213"/>
      <c r="ADL10" s="213"/>
      <c r="ADM10" s="213"/>
      <c r="ADN10" s="213"/>
      <c r="ADO10" s="213"/>
      <c r="ADP10" s="213"/>
      <c r="ADQ10" s="213"/>
      <c r="ADR10" s="213"/>
      <c r="ADS10" s="213"/>
      <c r="ADT10" s="213"/>
      <c r="ADU10" s="213"/>
      <c r="ADV10" s="213"/>
      <c r="ADW10" s="213"/>
      <c r="ADX10" s="213"/>
      <c r="ADY10" s="213"/>
      <c r="ADZ10" s="213"/>
      <c r="AEA10" s="213"/>
      <c r="AEB10" s="213"/>
      <c r="AEC10" s="213"/>
      <c r="AED10" s="213"/>
      <c r="AEE10" s="213"/>
      <c r="AEF10" s="213"/>
      <c r="AEG10" s="213"/>
      <c r="AEH10" s="213"/>
      <c r="AEI10" s="213"/>
      <c r="AEJ10" s="213"/>
      <c r="AEK10" s="213"/>
      <c r="AEL10" s="213"/>
      <c r="AEM10" s="213"/>
      <c r="AEN10" s="213"/>
      <c r="AEO10" s="213"/>
      <c r="AEP10" s="213"/>
      <c r="AEQ10" s="213"/>
      <c r="AER10" s="213"/>
      <c r="AES10" s="213"/>
      <c r="AET10" s="213"/>
      <c r="AEU10" s="213"/>
      <c r="AEV10" s="213"/>
      <c r="AEW10" s="213"/>
      <c r="AEX10" s="213"/>
      <c r="AEY10" s="213"/>
      <c r="AEZ10" s="213"/>
      <c r="AFA10" s="213"/>
      <c r="AFB10" s="213"/>
      <c r="AFC10" s="213"/>
      <c r="AFD10" s="213"/>
      <c r="AFE10" s="213"/>
      <c r="AFF10" s="213"/>
      <c r="AFG10" s="213"/>
      <c r="AFH10" s="213"/>
      <c r="AFI10" s="213"/>
      <c r="AFJ10" s="213"/>
      <c r="AFK10" s="213"/>
      <c r="AFL10" s="213"/>
      <c r="AFM10" s="213"/>
      <c r="AFN10" s="213"/>
      <c r="AFO10" s="213"/>
      <c r="AFP10" s="213"/>
      <c r="AFQ10" s="213"/>
      <c r="AFR10" s="213"/>
      <c r="AFS10" s="213"/>
      <c r="AFT10" s="213"/>
      <c r="AFU10" s="213"/>
      <c r="AFV10" s="213"/>
      <c r="AFW10" s="213"/>
      <c r="AFX10" s="213"/>
      <c r="AFY10" s="213"/>
      <c r="AFZ10" s="213"/>
      <c r="AGA10" s="213"/>
      <c r="AGB10" s="213"/>
      <c r="AGC10" s="213"/>
      <c r="AGD10" s="213"/>
      <c r="AGE10" s="213"/>
      <c r="AGF10" s="213"/>
      <c r="AGG10" s="213"/>
      <c r="AGH10" s="213"/>
      <c r="AGI10" s="213"/>
      <c r="AGJ10" s="213"/>
      <c r="AGK10" s="213"/>
      <c r="AGL10" s="213"/>
      <c r="AGM10" s="213"/>
      <c r="AGN10" s="213"/>
      <c r="AGO10" s="213"/>
      <c r="AGP10" s="213"/>
      <c r="AGQ10" s="213"/>
      <c r="AGR10" s="213"/>
      <c r="AGS10" s="213"/>
      <c r="AGT10" s="213"/>
      <c r="AGU10" s="213"/>
      <c r="AGV10" s="213"/>
      <c r="AGW10" s="213"/>
      <c r="AGX10" s="213"/>
      <c r="AGY10" s="213"/>
      <c r="AGZ10" s="213"/>
      <c r="AHA10" s="213"/>
      <c r="AHB10" s="213"/>
      <c r="AHC10" s="213"/>
      <c r="AHD10" s="213"/>
      <c r="AHE10" s="213"/>
      <c r="AHF10" s="213"/>
      <c r="AHG10" s="213"/>
      <c r="AHH10" s="213"/>
      <c r="AHI10" s="213"/>
      <c r="AHJ10" s="213"/>
      <c r="AHK10" s="213"/>
      <c r="AHL10" s="213"/>
      <c r="AHM10" s="213"/>
      <c r="AHN10" s="213"/>
      <c r="AHO10" s="213"/>
      <c r="AHP10" s="213"/>
      <c r="AHQ10" s="213"/>
      <c r="AHR10" s="213"/>
      <c r="AHS10" s="213"/>
      <c r="AHT10" s="213"/>
      <c r="AHU10" s="213"/>
      <c r="AHV10" s="213"/>
      <c r="AHW10" s="213"/>
      <c r="AHX10" s="213"/>
      <c r="AHY10" s="213"/>
      <c r="AHZ10" s="213"/>
      <c r="AIA10" s="213"/>
      <c r="AIB10" s="213"/>
      <c r="AIC10" s="213"/>
      <c r="AID10" s="213"/>
      <c r="AIE10" s="213"/>
      <c r="AIF10" s="213"/>
      <c r="AIG10" s="213"/>
      <c r="AIH10" s="213"/>
      <c r="AII10" s="213"/>
      <c r="AIJ10" s="213"/>
      <c r="AIK10" s="213"/>
      <c r="AIL10" s="213"/>
      <c r="AIM10" s="213"/>
      <c r="AIN10" s="213"/>
      <c r="AIO10" s="213"/>
      <c r="AIP10" s="213"/>
      <c r="AIQ10" s="213"/>
      <c r="AIR10" s="213"/>
      <c r="AIS10" s="213"/>
      <c r="AIT10" s="213"/>
      <c r="AIU10" s="213"/>
      <c r="AIV10" s="213"/>
      <c r="AIW10" s="213"/>
      <c r="AIX10" s="213"/>
      <c r="AIY10" s="213"/>
      <c r="AIZ10" s="213"/>
      <c r="AJA10" s="213"/>
      <c r="AJB10" s="213"/>
      <c r="AJC10" s="213"/>
      <c r="AJD10" s="213"/>
      <c r="AJE10" s="213"/>
      <c r="AJF10" s="213"/>
      <c r="AJG10" s="213"/>
      <c r="AJH10" s="213"/>
      <c r="AJI10" s="213"/>
      <c r="AJJ10" s="213"/>
      <c r="AJK10" s="213"/>
      <c r="AJL10" s="213"/>
      <c r="AJM10" s="213"/>
      <c r="AJN10" s="213"/>
      <c r="AJO10" s="213"/>
      <c r="AJP10" s="213"/>
      <c r="AJQ10" s="213"/>
      <c r="AJR10" s="213"/>
      <c r="AJS10" s="213"/>
      <c r="AJT10" s="213"/>
      <c r="AJU10" s="213"/>
      <c r="AJV10" s="213"/>
      <c r="AJW10" s="213"/>
      <c r="AJX10" s="213"/>
      <c r="AJY10" s="213"/>
      <c r="AJZ10" s="213"/>
      <c r="AKA10" s="213"/>
      <c r="AKB10" s="213"/>
      <c r="AKC10" s="213"/>
      <c r="AKD10" s="213"/>
      <c r="AKE10" s="213"/>
      <c r="AKF10" s="213"/>
      <c r="AKG10" s="213"/>
      <c r="AKH10" s="213"/>
      <c r="AKI10" s="213"/>
      <c r="AKJ10" s="213"/>
      <c r="AKK10" s="213"/>
      <c r="AKL10" s="213"/>
      <c r="AKM10" s="213"/>
      <c r="AKN10" s="213"/>
      <c r="AKO10" s="213"/>
      <c r="AKP10" s="213"/>
      <c r="AKQ10" s="213"/>
      <c r="AKR10" s="213"/>
      <c r="AKS10" s="213"/>
      <c r="AKT10" s="213"/>
      <c r="AKU10" s="213"/>
      <c r="AKV10" s="213"/>
      <c r="AKW10" s="213"/>
      <c r="AKX10" s="213"/>
      <c r="AKY10" s="213"/>
      <c r="AKZ10" s="213"/>
      <c r="ALA10" s="213"/>
      <c r="ALB10" s="213"/>
      <c r="ALC10" s="213"/>
      <c r="ALD10" s="213"/>
      <c r="ALE10" s="213"/>
      <c r="ALF10" s="213"/>
      <c r="ALG10" s="213"/>
      <c r="ALH10" s="213"/>
      <c r="ALI10" s="213"/>
      <c r="ALJ10" s="213"/>
      <c r="ALK10" s="213"/>
      <c r="ALL10" s="213"/>
      <c r="ALM10" s="213"/>
      <c r="ALN10" s="213"/>
      <c r="ALO10" s="213"/>
      <c r="ALP10" s="213"/>
      <c r="ALQ10" s="213"/>
      <c r="ALR10" s="213"/>
      <c r="ALS10" s="213"/>
      <c r="ALT10" s="213"/>
      <c r="ALU10" s="213"/>
      <c r="ALV10" s="213"/>
      <c r="ALW10" s="213"/>
      <c r="ALX10" s="213"/>
      <c r="ALY10" s="213"/>
      <c r="ALZ10" s="213"/>
      <c r="AMA10" s="213"/>
      <c r="AMB10" s="213"/>
      <c r="AMC10" s="213"/>
      <c r="AMD10" s="213"/>
      <c r="AME10" s="213"/>
      <c r="AMF10" s="213"/>
      <c r="AMG10" s="213"/>
      <c r="AMH10" s="213"/>
      <c r="AMI10" s="213"/>
      <c r="AMJ10" s="213"/>
      <c r="AMK10" s="213"/>
      <c r="AML10" s="213"/>
      <c r="AMM10" s="213"/>
      <c r="AMN10" s="213"/>
      <c r="AMO10" s="213"/>
      <c r="AMP10" s="213"/>
      <c r="AMQ10" s="213"/>
      <c r="AMR10" s="213"/>
      <c r="AMS10" s="213"/>
      <c r="AMT10" s="213"/>
      <c r="AMU10" s="213"/>
      <c r="AMV10" s="213"/>
      <c r="AMW10" s="213"/>
      <c r="AMX10" s="213"/>
      <c r="AMY10" s="213"/>
      <c r="AMZ10" s="213"/>
      <c r="ANA10" s="213"/>
      <c r="ANB10" s="213"/>
      <c r="ANC10" s="213"/>
      <c r="AND10" s="213"/>
      <c r="ANE10" s="213"/>
      <c r="ANF10" s="213"/>
      <c r="ANG10" s="213"/>
      <c r="ANH10" s="213"/>
      <c r="ANI10" s="213"/>
      <c r="ANJ10" s="213"/>
      <c r="ANK10" s="213"/>
      <c r="ANL10" s="213"/>
      <c r="ANM10" s="213"/>
      <c r="ANN10" s="213"/>
      <c r="ANO10" s="213"/>
      <c r="ANP10" s="213"/>
      <c r="ANQ10" s="213"/>
      <c r="ANR10" s="213"/>
      <c r="ANS10" s="213"/>
      <c r="ANT10" s="213"/>
      <c r="ANU10" s="213"/>
      <c r="ANV10" s="213"/>
      <c r="ANW10" s="213"/>
      <c r="ANX10" s="213"/>
      <c r="ANY10" s="213"/>
      <c r="ANZ10" s="213"/>
      <c r="AOA10" s="213"/>
      <c r="AOB10" s="213"/>
      <c r="AOC10" s="213"/>
      <c r="AOD10" s="213"/>
      <c r="AOE10" s="213"/>
      <c r="AOF10" s="213"/>
      <c r="AOG10" s="213"/>
      <c r="AOH10" s="213"/>
      <c r="AOI10" s="213"/>
      <c r="AOJ10" s="213"/>
      <c r="AOK10" s="213"/>
      <c r="AOL10" s="213"/>
      <c r="AOM10" s="213"/>
      <c r="AON10" s="213"/>
      <c r="AOO10" s="213"/>
      <c r="AOP10" s="213"/>
      <c r="AOQ10" s="213"/>
      <c r="AOR10" s="213"/>
      <c r="AOS10" s="213"/>
      <c r="AOT10" s="213"/>
      <c r="AOU10" s="213"/>
      <c r="AOV10" s="213"/>
      <c r="AOW10" s="213"/>
      <c r="AOX10" s="213"/>
      <c r="AOY10" s="213"/>
      <c r="AOZ10" s="213"/>
      <c r="APA10" s="213"/>
      <c r="APB10" s="213"/>
      <c r="APC10" s="213"/>
      <c r="APD10" s="213"/>
      <c r="APE10" s="213"/>
      <c r="APF10" s="213"/>
      <c r="APG10" s="213"/>
      <c r="APH10" s="213"/>
      <c r="API10" s="213"/>
      <c r="APJ10" s="213"/>
      <c r="APK10" s="213"/>
      <c r="APL10" s="213"/>
      <c r="APM10" s="213"/>
      <c r="APN10" s="213"/>
      <c r="APO10" s="213"/>
      <c r="APP10" s="213"/>
      <c r="APQ10" s="213"/>
      <c r="APR10" s="213"/>
      <c r="APS10" s="213"/>
      <c r="APT10" s="213"/>
      <c r="APU10" s="213"/>
      <c r="APV10" s="213"/>
      <c r="APW10" s="213"/>
      <c r="APX10" s="213"/>
      <c r="APY10" s="213"/>
      <c r="APZ10" s="213"/>
      <c r="AQA10" s="213"/>
      <c r="AQB10" s="213"/>
      <c r="AQC10" s="213"/>
      <c r="AQD10" s="213"/>
      <c r="AQE10" s="213"/>
      <c r="AQF10" s="213"/>
      <c r="AQG10" s="213"/>
      <c r="AQH10" s="213"/>
      <c r="AQI10" s="213"/>
      <c r="AQJ10" s="213"/>
      <c r="AQK10" s="213"/>
      <c r="AQL10" s="213"/>
      <c r="AQM10" s="213"/>
      <c r="AQN10" s="213"/>
      <c r="AQO10" s="213"/>
      <c r="AQP10" s="213"/>
      <c r="AQQ10" s="213"/>
      <c r="AQR10" s="213"/>
      <c r="AQS10" s="213"/>
      <c r="AQT10" s="213"/>
      <c r="AQU10" s="213"/>
      <c r="AQV10" s="213"/>
      <c r="AQW10" s="213"/>
      <c r="AQX10" s="213"/>
      <c r="AQY10" s="213"/>
      <c r="AQZ10" s="213"/>
      <c r="ARA10" s="213"/>
      <c r="ARB10" s="213"/>
      <c r="ARC10" s="213"/>
      <c r="ARD10" s="213"/>
      <c r="ARE10" s="213"/>
      <c r="ARF10" s="213"/>
      <c r="ARG10" s="213"/>
      <c r="ARH10" s="213"/>
      <c r="ARI10" s="213"/>
      <c r="ARJ10" s="213"/>
      <c r="ARK10" s="213"/>
      <c r="ARL10" s="213"/>
      <c r="ARM10" s="213"/>
      <c r="ARN10" s="213"/>
      <c r="ARO10" s="213"/>
      <c r="ARP10" s="213"/>
      <c r="ARQ10" s="213"/>
      <c r="ARR10" s="213"/>
      <c r="ARS10" s="213"/>
      <c r="ART10" s="213"/>
      <c r="ARU10" s="213"/>
      <c r="ARV10" s="213"/>
      <c r="ARW10" s="213"/>
      <c r="ARX10" s="213"/>
      <c r="ARY10" s="213"/>
      <c r="ARZ10" s="213"/>
      <c r="ASA10" s="213"/>
      <c r="ASB10" s="213"/>
      <c r="ASC10" s="213"/>
      <c r="ASD10" s="213"/>
      <c r="ASE10" s="213"/>
      <c r="ASF10" s="213"/>
      <c r="ASG10" s="213"/>
      <c r="ASH10" s="213"/>
      <c r="ASI10" s="213"/>
      <c r="ASJ10" s="213"/>
      <c r="ASK10" s="213"/>
      <c r="ASL10" s="213"/>
      <c r="ASM10" s="213"/>
      <c r="ASN10" s="213"/>
      <c r="ASO10" s="213"/>
      <c r="ASP10" s="213"/>
      <c r="ASQ10" s="213"/>
      <c r="ASR10" s="213"/>
      <c r="ASS10" s="213"/>
      <c r="AST10" s="213"/>
      <c r="ASU10" s="213"/>
      <c r="ASV10" s="213"/>
      <c r="ASW10" s="213"/>
      <c r="ASX10" s="213"/>
      <c r="ASY10" s="213"/>
      <c r="ASZ10" s="213"/>
      <c r="ATA10" s="213"/>
      <c r="ATB10" s="213"/>
      <c r="ATC10" s="213"/>
      <c r="ATD10" s="213"/>
      <c r="ATE10" s="213"/>
      <c r="ATF10" s="213"/>
      <c r="ATG10" s="213"/>
      <c r="ATH10" s="213"/>
      <c r="ATI10" s="213"/>
      <c r="ATJ10" s="213"/>
      <c r="ATK10" s="213"/>
      <c r="ATL10" s="213"/>
      <c r="ATM10" s="213"/>
      <c r="ATN10" s="213"/>
      <c r="ATO10" s="213"/>
      <c r="ATP10" s="213"/>
      <c r="ATQ10" s="213"/>
      <c r="ATR10" s="213"/>
      <c r="ATS10" s="213"/>
      <c r="ATT10" s="213"/>
      <c r="ATU10" s="213"/>
      <c r="ATV10" s="213"/>
      <c r="ATW10" s="213"/>
      <c r="ATX10" s="213"/>
      <c r="ATY10" s="213"/>
      <c r="ATZ10" s="213"/>
      <c r="AUA10" s="213"/>
      <c r="AUB10" s="213"/>
      <c r="AUC10" s="213"/>
      <c r="AUD10" s="213"/>
      <c r="AUE10" s="213"/>
      <c r="AUF10" s="213"/>
      <c r="AUG10" s="213"/>
      <c r="AUH10" s="213"/>
      <c r="AUI10" s="213"/>
      <c r="AUJ10" s="213"/>
      <c r="AUK10" s="213"/>
      <c r="AUL10" s="213"/>
      <c r="AUM10" s="213"/>
      <c r="AUN10" s="213"/>
      <c r="AUO10" s="213"/>
      <c r="AUP10" s="213"/>
      <c r="AUQ10" s="213"/>
      <c r="AUR10" s="213"/>
      <c r="AUS10" s="213"/>
      <c r="AUT10" s="213"/>
      <c r="AUU10" s="213"/>
      <c r="AUV10" s="213"/>
      <c r="AUW10" s="213"/>
      <c r="AUX10" s="213"/>
      <c r="AUY10" s="213"/>
      <c r="AUZ10" s="213"/>
      <c r="AVA10" s="213"/>
      <c r="AVB10" s="213"/>
      <c r="AVC10" s="213"/>
      <c r="AVD10" s="213"/>
      <c r="AVE10" s="213"/>
      <c r="AVF10" s="213"/>
      <c r="AVG10" s="213"/>
      <c r="AVH10" s="213"/>
      <c r="AVI10" s="213"/>
      <c r="AVJ10" s="213"/>
      <c r="AVK10" s="213"/>
      <c r="AVL10" s="213"/>
      <c r="AVM10" s="213"/>
      <c r="AVN10" s="213"/>
      <c r="AVO10" s="213"/>
      <c r="AVP10" s="213"/>
      <c r="AVQ10" s="213"/>
      <c r="AVR10" s="213"/>
      <c r="AVS10" s="213"/>
      <c r="AVT10" s="213"/>
      <c r="AVU10" s="213"/>
      <c r="AVV10" s="213"/>
      <c r="AVW10" s="213"/>
      <c r="AVX10" s="213"/>
      <c r="AVY10" s="213"/>
      <c r="AVZ10" s="213"/>
      <c r="AWA10" s="213"/>
      <c r="AWB10" s="213"/>
      <c r="AWC10" s="213"/>
      <c r="AWD10" s="213"/>
      <c r="AWE10" s="213"/>
      <c r="AWF10" s="213"/>
      <c r="AWG10" s="213"/>
      <c r="AWH10" s="213"/>
      <c r="AWI10" s="213"/>
      <c r="AWJ10" s="213"/>
      <c r="AWK10" s="213"/>
      <c r="AWL10" s="213"/>
      <c r="AWM10" s="213"/>
      <c r="AWN10" s="213"/>
      <c r="AWO10" s="213"/>
      <c r="AWP10" s="213"/>
      <c r="AWQ10" s="213"/>
      <c r="AWR10" s="213"/>
      <c r="AWS10" s="213"/>
      <c r="AWT10" s="213"/>
      <c r="AWU10" s="213"/>
      <c r="AWV10" s="213"/>
      <c r="AWW10" s="213"/>
      <c r="AWX10" s="213"/>
      <c r="AWY10" s="213"/>
      <c r="AWZ10" s="213"/>
      <c r="AXA10" s="213"/>
      <c r="AXB10" s="213"/>
      <c r="AXC10" s="213"/>
      <c r="AXD10" s="213"/>
      <c r="AXE10" s="213"/>
      <c r="AXF10" s="213"/>
      <c r="AXG10" s="213"/>
      <c r="AXH10" s="213"/>
      <c r="AXI10" s="213"/>
      <c r="AXJ10" s="213"/>
      <c r="AXK10" s="213"/>
      <c r="AXL10" s="213"/>
      <c r="AXM10" s="213"/>
      <c r="AXN10" s="213"/>
      <c r="AXO10" s="213"/>
      <c r="AXP10" s="213"/>
      <c r="AXQ10" s="213"/>
      <c r="AXR10" s="213"/>
      <c r="AXS10" s="213"/>
      <c r="AXT10" s="213"/>
      <c r="AXU10" s="213"/>
      <c r="AXV10" s="213"/>
      <c r="AXW10" s="213"/>
      <c r="AXX10" s="213"/>
      <c r="AXY10" s="213"/>
      <c r="AXZ10" s="213"/>
      <c r="AYA10" s="213"/>
      <c r="AYB10" s="213"/>
      <c r="AYC10" s="213"/>
      <c r="AYD10" s="213"/>
      <c r="AYE10" s="213"/>
      <c r="AYF10" s="213"/>
      <c r="AYG10" s="213"/>
      <c r="AYH10" s="213"/>
      <c r="AYI10" s="213"/>
      <c r="AYJ10" s="213"/>
      <c r="AYK10" s="213"/>
      <c r="AYL10" s="213"/>
      <c r="AYM10" s="213"/>
      <c r="AYN10" s="213"/>
      <c r="AYO10" s="213"/>
      <c r="AYP10" s="213"/>
      <c r="AYQ10" s="213"/>
      <c r="AYR10" s="213"/>
      <c r="AYS10" s="213"/>
      <c r="AYT10" s="213"/>
      <c r="AYU10" s="213"/>
      <c r="AYV10" s="213"/>
      <c r="AYW10" s="213"/>
      <c r="AYX10" s="213"/>
      <c r="AYY10" s="213"/>
      <c r="AYZ10" s="213"/>
      <c r="AZA10" s="213"/>
      <c r="AZB10" s="213"/>
      <c r="AZC10" s="213"/>
      <c r="AZD10" s="213"/>
      <c r="AZE10" s="213"/>
      <c r="AZF10" s="213"/>
      <c r="AZG10" s="213"/>
      <c r="AZH10" s="213"/>
      <c r="AZI10" s="213"/>
      <c r="AZJ10" s="213"/>
      <c r="AZK10" s="213"/>
      <c r="AZL10" s="213"/>
      <c r="AZM10" s="213"/>
      <c r="AZN10" s="213"/>
      <c r="AZO10" s="213"/>
      <c r="AZP10" s="213"/>
      <c r="AZQ10" s="213"/>
      <c r="AZR10" s="213"/>
      <c r="AZS10" s="213"/>
      <c r="AZT10" s="213"/>
      <c r="AZU10" s="213"/>
      <c r="AZV10" s="213"/>
      <c r="AZW10" s="213"/>
      <c r="AZX10" s="213"/>
      <c r="AZY10" s="213"/>
      <c r="AZZ10" s="213"/>
      <c r="BAA10" s="213"/>
      <c r="BAB10" s="213"/>
      <c r="BAC10" s="213"/>
      <c r="BAD10" s="213"/>
      <c r="BAE10" s="213"/>
      <c r="BAF10" s="213"/>
      <c r="BAG10" s="213"/>
      <c r="BAH10" s="213"/>
      <c r="BAI10" s="213"/>
      <c r="BAJ10" s="213"/>
      <c r="BAK10" s="213"/>
      <c r="BAL10" s="213"/>
      <c r="BAM10" s="213"/>
      <c r="BAN10" s="213"/>
      <c r="BAO10" s="213"/>
      <c r="BAP10" s="213"/>
      <c r="BAQ10" s="213"/>
      <c r="BAR10" s="213"/>
      <c r="BAS10" s="213"/>
      <c r="BAT10" s="213"/>
      <c r="BAU10" s="213"/>
      <c r="BAV10" s="213"/>
      <c r="BAW10" s="213"/>
      <c r="BAX10" s="213"/>
      <c r="BAY10" s="213"/>
      <c r="BAZ10" s="213"/>
      <c r="BBA10" s="213"/>
      <c r="BBB10" s="213"/>
      <c r="BBC10" s="213"/>
      <c r="BBD10" s="213"/>
      <c r="BBE10" s="213"/>
      <c r="BBF10" s="213"/>
      <c r="BBG10" s="213"/>
      <c r="BBH10" s="213"/>
      <c r="BBI10" s="213"/>
      <c r="BBJ10" s="213"/>
      <c r="BBK10" s="213"/>
      <c r="BBL10" s="213"/>
      <c r="BBM10" s="213"/>
      <c r="BBN10" s="213"/>
      <c r="BBO10" s="213"/>
      <c r="BBP10" s="213"/>
      <c r="BBQ10" s="213"/>
      <c r="BBR10" s="213"/>
      <c r="BBS10" s="213"/>
      <c r="BBT10" s="213"/>
      <c r="BBU10" s="213"/>
      <c r="BBV10" s="213"/>
      <c r="BBW10" s="213"/>
      <c r="BBX10" s="213"/>
      <c r="BBY10" s="213"/>
      <c r="BBZ10" s="213"/>
      <c r="BCA10" s="213"/>
      <c r="BCB10" s="213"/>
      <c r="BCC10" s="213"/>
      <c r="BCD10" s="213"/>
      <c r="BCE10" s="213"/>
      <c r="BCF10" s="213"/>
      <c r="BCG10" s="213"/>
      <c r="BCH10" s="213"/>
      <c r="BCI10" s="213"/>
      <c r="BCJ10" s="213"/>
      <c r="BCK10" s="213"/>
      <c r="BCL10" s="213"/>
      <c r="BCM10" s="213"/>
      <c r="BCN10" s="213"/>
      <c r="BCO10" s="213"/>
      <c r="BCP10" s="213"/>
      <c r="BCQ10" s="213"/>
      <c r="BCR10" s="213"/>
      <c r="BCS10" s="213"/>
      <c r="BCT10" s="213"/>
      <c r="BCU10" s="213"/>
      <c r="BCV10" s="213"/>
      <c r="BCW10" s="213"/>
      <c r="BCX10" s="213"/>
      <c r="BCY10" s="213"/>
      <c r="BCZ10" s="213"/>
      <c r="BDA10" s="213"/>
      <c r="BDB10" s="213"/>
      <c r="BDC10" s="213"/>
      <c r="BDD10" s="213"/>
      <c r="BDE10" s="213"/>
      <c r="BDF10" s="213"/>
      <c r="BDG10" s="213"/>
      <c r="BDH10" s="213"/>
      <c r="BDI10" s="213"/>
      <c r="BDJ10" s="213"/>
      <c r="BDK10" s="213"/>
      <c r="BDL10" s="213"/>
      <c r="BDM10" s="213"/>
      <c r="BDN10" s="213"/>
      <c r="BDO10" s="213"/>
      <c r="BDP10" s="213"/>
      <c r="BDQ10" s="213"/>
      <c r="BDR10" s="213"/>
      <c r="BDS10" s="213"/>
      <c r="BDT10" s="213"/>
      <c r="BDU10" s="213"/>
      <c r="BDV10" s="213"/>
      <c r="BDW10" s="213"/>
      <c r="BDX10" s="213"/>
      <c r="BDY10" s="213"/>
      <c r="BDZ10" s="213"/>
      <c r="BEA10" s="213"/>
      <c r="BEB10" s="213"/>
      <c r="BEC10" s="213"/>
      <c r="BED10" s="213"/>
      <c r="BEE10" s="213"/>
      <c r="BEF10" s="213"/>
      <c r="BEG10" s="213"/>
      <c r="BEH10" s="213"/>
      <c r="BEI10" s="213"/>
      <c r="BEJ10" s="213"/>
      <c r="BEK10" s="213"/>
      <c r="BEL10" s="213"/>
      <c r="BEM10" s="213"/>
      <c r="BEN10" s="213"/>
      <c r="BEO10" s="213"/>
      <c r="BEP10" s="213"/>
      <c r="BEQ10" s="213"/>
      <c r="BER10" s="213"/>
      <c r="BES10" s="213"/>
      <c r="BET10" s="213"/>
      <c r="BEU10" s="213"/>
      <c r="BEV10" s="213"/>
      <c r="BEW10" s="213"/>
      <c r="BEX10" s="213"/>
      <c r="BEY10" s="213"/>
      <c r="BEZ10" s="213"/>
      <c r="BFA10" s="213"/>
      <c r="BFB10" s="213"/>
      <c r="BFC10" s="213"/>
      <c r="BFD10" s="213"/>
      <c r="BFE10" s="213"/>
      <c r="BFF10" s="213"/>
      <c r="BFG10" s="213"/>
      <c r="BFH10" s="213"/>
      <c r="BFI10" s="213"/>
      <c r="BFJ10" s="213"/>
      <c r="BFK10" s="213"/>
      <c r="BFL10" s="213"/>
      <c r="BFM10" s="213"/>
      <c r="BFN10" s="213"/>
      <c r="BFO10" s="213"/>
      <c r="BFP10" s="213"/>
      <c r="BFQ10" s="213"/>
      <c r="BFR10" s="213"/>
      <c r="BFS10" s="213"/>
      <c r="BFT10" s="213"/>
      <c r="BFU10" s="213"/>
      <c r="BFV10" s="213"/>
      <c r="BFW10" s="213"/>
      <c r="BFX10" s="213"/>
      <c r="BFY10" s="213"/>
      <c r="BFZ10" s="213"/>
      <c r="BGA10" s="213"/>
      <c r="BGB10" s="213"/>
      <c r="BGC10" s="213"/>
      <c r="BGD10" s="213"/>
      <c r="BGE10" s="213"/>
      <c r="BGF10" s="213"/>
      <c r="BGG10" s="213"/>
      <c r="BGH10" s="213"/>
      <c r="BGI10" s="213"/>
      <c r="BGJ10" s="213"/>
      <c r="BGK10" s="213"/>
      <c r="BGL10" s="213"/>
      <c r="BGM10" s="213"/>
      <c r="BGN10" s="213"/>
      <c r="BGO10" s="213"/>
      <c r="BGP10" s="213"/>
      <c r="BGQ10" s="213"/>
      <c r="BGR10" s="213"/>
      <c r="BGS10" s="213"/>
      <c r="BGT10" s="213"/>
      <c r="BGU10" s="213"/>
      <c r="BGV10" s="213"/>
      <c r="BGW10" s="213"/>
      <c r="BGX10" s="213"/>
      <c r="BGY10" s="213"/>
      <c r="BGZ10" s="213"/>
      <c r="BHA10" s="213"/>
      <c r="BHB10" s="213"/>
      <c r="BHC10" s="213"/>
      <c r="BHD10" s="213"/>
      <c r="BHE10" s="213"/>
      <c r="BHF10" s="213"/>
      <c r="BHG10" s="213"/>
      <c r="BHH10" s="213"/>
      <c r="BHI10" s="213"/>
      <c r="BHJ10" s="213"/>
      <c r="BHK10" s="213"/>
      <c r="BHL10" s="213"/>
      <c r="BHM10" s="213"/>
      <c r="BHN10" s="213"/>
      <c r="BHO10" s="213"/>
      <c r="BHP10" s="213"/>
      <c r="BHQ10" s="213"/>
      <c r="BHR10" s="213"/>
      <c r="BHS10" s="213"/>
      <c r="BHT10" s="213"/>
      <c r="BHU10" s="213"/>
      <c r="BHV10" s="213"/>
      <c r="BHW10" s="213"/>
      <c r="BHX10" s="213"/>
      <c r="BHY10" s="213"/>
      <c r="BHZ10" s="213"/>
      <c r="BIA10" s="213"/>
      <c r="BIB10" s="213"/>
      <c r="BIC10" s="213"/>
      <c r="BID10" s="213"/>
      <c r="BIE10" s="213"/>
      <c r="BIF10" s="213"/>
      <c r="BIG10" s="213"/>
      <c r="BIH10" s="213"/>
      <c r="BII10" s="213"/>
      <c r="BIJ10" s="213"/>
      <c r="BIK10" s="213"/>
      <c r="BIL10" s="213"/>
      <c r="BIM10" s="213"/>
      <c r="BIN10" s="213"/>
      <c r="BIO10" s="213"/>
      <c r="BIP10" s="213"/>
      <c r="BIQ10" s="213"/>
      <c r="BIR10" s="213"/>
      <c r="BIS10" s="213"/>
      <c r="BIT10" s="213"/>
      <c r="BIU10" s="213"/>
      <c r="BIV10" s="213"/>
      <c r="BIW10" s="213"/>
      <c r="BIX10" s="213"/>
      <c r="BIY10" s="213"/>
      <c r="BIZ10" s="213"/>
      <c r="BJA10" s="213"/>
      <c r="BJB10" s="213"/>
      <c r="BJC10" s="213"/>
      <c r="BJD10" s="213"/>
      <c r="BJE10" s="213"/>
      <c r="BJF10" s="213"/>
      <c r="BJG10" s="213"/>
      <c r="BJH10" s="213"/>
      <c r="BJI10" s="213"/>
      <c r="BJJ10" s="213"/>
      <c r="BJK10" s="213"/>
      <c r="BJL10" s="213"/>
      <c r="BJM10" s="213"/>
    </row>
    <row r="11" spans="1:1625" s="71" customFormat="1" ht="20.100000000000001" customHeight="1" x14ac:dyDescent="0.25">
      <c r="A11" s="146"/>
      <c r="B11" s="142"/>
      <c r="C11" s="226"/>
      <c r="D11" s="226"/>
      <c r="E11" s="226"/>
      <c r="F11" s="214" t="s">
        <v>122</v>
      </c>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t="s">
        <v>122</v>
      </c>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c r="DU11" s="214"/>
      <c r="DV11" s="214" t="s">
        <v>121</v>
      </c>
      <c r="DW11" s="214"/>
      <c r="DX11" s="214"/>
      <c r="DY11" s="214"/>
      <c r="DZ11" s="214"/>
      <c r="EA11" s="214"/>
      <c r="EB11" s="214"/>
      <c r="EC11" s="214"/>
      <c r="ED11" s="214"/>
      <c r="EE11" s="214"/>
      <c r="EF11" s="214"/>
      <c r="EG11" s="214"/>
      <c r="EH11" s="214"/>
      <c r="EI11" s="214"/>
      <c r="EJ11" s="214"/>
      <c r="EK11" s="214"/>
      <c r="EL11" s="214"/>
      <c r="EM11" s="214"/>
      <c r="EN11" s="214"/>
      <c r="EO11" s="214"/>
      <c r="EP11" s="214"/>
      <c r="EQ11" s="214"/>
      <c r="ER11" s="214"/>
      <c r="ES11" s="214"/>
      <c r="ET11" s="214"/>
      <c r="EU11" s="214"/>
      <c r="EV11" s="214"/>
      <c r="EW11" s="214"/>
      <c r="EX11" s="214"/>
      <c r="EY11" s="214"/>
      <c r="EZ11" s="214"/>
      <c r="FA11" s="214"/>
      <c r="FB11" s="214"/>
      <c r="FC11" s="214"/>
      <c r="FD11" s="214"/>
      <c r="FE11" s="214"/>
      <c r="FF11" s="214"/>
      <c r="FG11" s="214"/>
      <c r="FH11" s="214"/>
      <c r="FI11" s="214"/>
      <c r="FJ11" s="214"/>
      <c r="FK11" s="214"/>
      <c r="FL11" s="214"/>
      <c r="FM11" s="214"/>
      <c r="FN11" s="214"/>
      <c r="FO11" s="214"/>
      <c r="FP11" s="214"/>
      <c r="FQ11" s="214"/>
      <c r="FR11" s="214"/>
      <c r="FS11" s="214"/>
      <c r="FT11" s="214"/>
      <c r="FU11" s="214"/>
      <c r="FV11" s="214"/>
      <c r="FW11" s="214"/>
      <c r="FX11" s="214"/>
      <c r="FY11" s="214"/>
      <c r="FZ11" s="214"/>
      <c r="GA11" s="214"/>
      <c r="GB11" s="214"/>
      <c r="GC11" s="214"/>
      <c r="GD11" s="214" t="s">
        <v>121</v>
      </c>
      <c r="GE11" s="214"/>
      <c r="GF11" s="214"/>
      <c r="GG11" s="214"/>
      <c r="GH11" s="214"/>
      <c r="GI11" s="214"/>
      <c r="GJ11" s="214"/>
      <c r="GK11" s="214"/>
      <c r="GL11" s="214"/>
      <c r="GM11" s="214"/>
      <c r="GN11" s="214"/>
      <c r="GO11" s="214"/>
      <c r="GP11" s="214"/>
      <c r="GQ11" s="214"/>
      <c r="GR11" s="214"/>
      <c r="GS11" s="214"/>
      <c r="GT11" s="214"/>
      <c r="GU11" s="214"/>
      <c r="GV11" s="214"/>
      <c r="GW11" s="214"/>
      <c r="GX11" s="214"/>
      <c r="GY11" s="214"/>
      <c r="GZ11" s="214"/>
      <c r="HA11" s="214"/>
      <c r="HB11" s="214"/>
      <c r="HC11" s="214"/>
      <c r="HD11" s="214"/>
      <c r="HE11" s="214"/>
      <c r="HF11" s="214"/>
      <c r="HG11" s="214"/>
      <c r="HH11" s="214"/>
      <c r="HI11" s="214"/>
      <c r="HJ11" s="214"/>
      <c r="HK11" s="214"/>
      <c r="HL11" s="214"/>
      <c r="HM11" s="214"/>
      <c r="HN11" s="214"/>
      <c r="HO11" s="214"/>
      <c r="HP11" s="214"/>
      <c r="HQ11" s="214"/>
      <c r="HR11" s="214"/>
      <c r="HS11" s="214"/>
      <c r="HT11" s="214"/>
      <c r="HU11" s="214"/>
      <c r="HV11" s="214"/>
      <c r="HW11" s="214"/>
      <c r="HX11" s="214"/>
      <c r="HY11" s="214"/>
      <c r="HZ11" s="214"/>
      <c r="IA11" s="214"/>
      <c r="IB11" s="214"/>
      <c r="IC11" s="214"/>
      <c r="ID11" s="214"/>
      <c r="IE11" s="214"/>
      <c r="IF11" s="214"/>
      <c r="IG11" s="214"/>
      <c r="IH11" s="214"/>
      <c r="II11" s="214"/>
      <c r="IJ11" s="214"/>
      <c r="IK11" s="214"/>
      <c r="IL11" s="214" t="s">
        <v>120</v>
      </c>
      <c r="IM11" s="214"/>
      <c r="IN11" s="214"/>
      <c r="IO11" s="214"/>
      <c r="IP11" s="214"/>
      <c r="IQ11" s="214"/>
      <c r="IR11" s="214"/>
      <c r="IS11" s="214"/>
      <c r="IT11" s="214"/>
      <c r="IU11" s="214"/>
      <c r="IV11" s="214"/>
      <c r="IW11" s="214"/>
      <c r="IX11" s="214"/>
      <c r="IY11" s="214"/>
      <c r="IZ11" s="214"/>
      <c r="JA11" s="214"/>
      <c r="JB11" s="214"/>
      <c r="JC11" s="214"/>
      <c r="JD11" s="214"/>
      <c r="JE11" s="214"/>
      <c r="JF11" s="214"/>
      <c r="JG11" s="214"/>
      <c r="JH11" s="214"/>
      <c r="JI11" s="214"/>
      <c r="JJ11" s="214"/>
      <c r="JK11" s="214"/>
      <c r="JL11" s="214"/>
      <c r="JM11" s="214"/>
      <c r="JN11" s="214"/>
      <c r="JO11" s="214"/>
      <c r="JP11" s="214"/>
      <c r="JQ11" s="214"/>
      <c r="JR11" s="214"/>
      <c r="JS11" s="214"/>
      <c r="JT11" s="214"/>
      <c r="JU11" s="214"/>
      <c r="JV11" s="214"/>
      <c r="JW11" s="214"/>
      <c r="JX11" s="214"/>
      <c r="JY11" s="214"/>
      <c r="JZ11" s="214"/>
      <c r="KA11" s="214"/>
      <c r="KB11" s="214"/>
      <c r="KC11" s="214"/>
      <c r="KD11" s="214"/>
      <c r="KE11" s="214"/>
      <c r="KF11" s="214"/>
      <c r="KG11" s="214"/>
      <c r="KH11" s="214"/>
      <c r="KI11" s="214"/>
      <c r="KJ11" s="214"/>
      <c r="KK11" s="214"/>
      <c r="KL11" s="214"/>
      <c r="KM11" s="214"/>
      <c r="KN11" s="214"/>
      <c r="KO11" s="214"/>
      <c r="KP11" s="214"/>
      <c r="KQ11" s="214"/>
      <c r="KR11" s="214"/>
      <c r="KS11" s="214"/>
      <c r="KT11" s="214" t="s">
        <v>120</v>
      </c>
      <c r="KU11" s="214"/>
      <c r="KV11" s="214"/>
      <c r="KW11" s="214"/>
      <c r="KX11" s="214"/>
      <c r="KY11" s="214"/>
      <c r="KZ11" s="214"/>
      <c r="LA11" s="214"/>
      <c r="LB11" s="214"/>
      <c r="LC11" s="214"/>
      <c r="LD11" s="214"/>
      <c r="LE11" s="214"/>
      <c r="LF11" s="214"/>
      <c r="LG11" s="214"/>
      <c r="LH11" s="214"/>
      <c r="LI11" s="214"/>
      <c r="LJ11" s="214"/>
      <c r="LK11" s="214"/>
      <c r="LL11" s="214"/>
      <c r="LM11" s="214"/>
      <c r="LN11" s="214"/>
      <c r="LO11" s="214"/>
      <c r="LP11" s="214"/>
      <c r="LQ11" s="214"/>
      <c r="LR11" s="214"/>
      <c r="LS11" s="214"/>
      <c r="LT11" s="214"/>
      <c r="LU11" s="214"/>
      <c r="LV11" s="214"/>
      <c r="LW11" s="214"/>
      <c r="LX11" s="214"/>
      <c r="LY11" s="214"/>
      <c r="LZ11" s="214"/>
      <c r="MA11" s="214"/>
      <c r="MB11" s="214"/>
      <c r="MC11" s="214"/>
      <c r="MD11" s="214"/>
      <c r="ME11" s="214"/>
      <c r="MF11" s="214"/>
      <c r="MG11" s="214"/>
      <c r="MH11" s="214"/>
      <c r="MI11" s="214"/>
      <c r="MJ11" s="214"/>
      <c r="MK11" s="214"/>
      <c r="ML11" s="214"/>
      <c r="MM11" s="214"/>
      <c r="MN11" s="214"/>
      <c r="MO11" s="214"/>
      <c r="MP11" s="214"/>
      <c r="MQ11" s="214"/>
      <c r="MR11" s="214"/>
      <c r="MS11" s="214"/>
      <c r="MT11" s="214"/>
      <c r="MU11" s="214"/>
      <c r="MV11" s="214"/>
      <c r="MW11" s="214"/>
      <c r="MX11" s="214"/>
      <c r="MY11" s="214"/>
      <c r="MZ11" s="214"/>
      <c r="NA11" s="214"/>
      <c r="NB11" s="214" t="s">
        <v>119</v>
      </c>
      <c r="NC11" s="214"/>
      <c r="ND11" s="214"/>
      <c r="NE11" s="214"/>
      <c r="NF11" s="214"/>
      <c r="NG11" s="214"/>
      <c r="NH11" s="214"/>
      <c r="NI11" s="214"/>
      <c r="NJ11" s="214"/>
      <c r="NK11" s="214"/>
      <c r="NL11" s="214"/>
      <c r="NM11" s="214"/>
      <c r="NN11" s="214"/>
      <c r="NO11" s="214"/>
      <c r="NP11" s="214"/>
      <c r="NQ11" s="214"/>
      <c r="NR11" s="214"/>
      <c r="NS11" s="214"/>
      <c r="NT11" s="214"/>
      <c r="NU11" s="214"/>
      <c r="NV11" s="214"/>
      <c r="NW11" s="214"/>
      <c r="NX11" s="214"/>
      <c r="NY11" s="214"/>
      <c r="NZ11" s="214"/>
      <c r="OA11" s="214"/>
      <c r="OB11" s="214"/>
      <c r="OC11" s="214"/>
      <c r="OD11" s="214"/>
      <c r="OE11" s="214"/>
      <c r="OF11" s="214"/>
      <c r="OG11" s="214"/>
      <c r="OH11" s="214"/>
      <c r="OI11" s="214"/>
      <c r="OJ11" s="214"/>
      <c r="OK11" s="214"/>
      <c r="OL11" s="214"/>
      <c r="OM11" s="214"/>
      <c r="ON11" s="214"/>
      <c r="OO11" s="214"/>
      <c r="OP11" s="214"/>
      <c r="OQ11" s="214"/>
      <c r="OR11" s="214"/>
      <c r="OS11" s="214"/>
      <c r="OT11" s="214"/>
      <c r="OU11" s="214"/>
      <c r="OV11" s="214"/>
      <c r="OW11" s="214"/>
      <c r="OX11" s="214"/>
      <c r="OY11" s="214"/>
      <c r="OZ11" s="214"/>
      <c r="PA11" s="214"/>
      <c r="PB11" s="214"/>
      <c r="PC11" s="214"/>
      <c r="PD11" s="214"/>
      <c r="PE11" s="214"/>
      <c r="PF11" s="214"/>
      <c r="PG11" s="214"/>
      <c r="PH11" s="214"/>
      <c r="PI11" s="214"/>
      <c r="PJ11" s="214" t="s">
        <v>118</v>
      </c>
      <c r="PK11" s="214"/>
      <c r="PL11" s="214"/>
      <c r="PM11" s="214"/>
      <c r="PN11" s="214"/>
      <c r="PO11" s="214"/>
      <c r="PP11" s="214"/>
      <c r="PQ11" s="214"/>
      <c r="PR11" s="214"/>
      <c r="PS11" s="214"/>
      <c r="PT11" s="214"/>
      <c r="PU11" s="214"/>
      <c r="PV11" s="214"/>
      <c r="PW11" s="214"/>
      <c r="PX11" s="214"/>
      <c r="PY11" s="214"/>
      <c r="PZ11" s="214"/>
      <c r="QA11" s="214"/>
      <c r="QB11" s="214"/>
      <c r="QC11" s="214"/>
      <c r="QD11" s="214"/>
      <c r="QE11" s="214"/>
      <c r="QF11" s="214"/>
      <c r="QG11" s="214"/>
      <c r="QH11" s="214"/>
      <c r="QI11" s="214"/>
      <c r="QJ11" s="214"/>
      <c r="QK11" s="214"/>
      <c r="QL11" s="214"/>
      <c r="QM11" s="214"/>
      <c r="QN11" s="214"/>
      <c r="QO11" s="214"/>
      <c r="QP11" s="214"/>
      <c r="QQ11" s="214"/>
      <c r="QR11" s="214"/>
      <c r="QS11" s="214"/>
      <c r="QT11" s="214"/>
      <c r="QU11" s="214"/>
      <c r="QV11" s="214"/>
      <c r="QW11" s="214"/>
      <c r="QX11" s="214"/>
      <c r="QY11" s="214"/>
      <c r="QZ11" s="214"/>
      <c r="RA11" s="214"/>
      <c r="RB11" s="214"/>
      <c r="RC11" s="214"/>
      <c r="RD11" s="214"/>
      <c r="RE11" s="214"/>
      <c r="RF11" s="214"/>
      <c r="RG11" s="214"/>
      <c r="RH11" s="214"/>
      <c r="RI11" s="214"/>
      <c r="RJ11" s="214"/>
      <c r="RK11" s="214"/>
      <c r="RL11" s="214"/>
      <c r="RM11" s="214"/>
      <c r="RN11" s="214"/>
      <c r="RO11" s="214"/>
      <c r="RP11" s="214"/>
      <c r="RQ11" s="214"/>
      <c r="RR11" s="214" t="s">
        <v>118</v>
      </c>
      <c r="RS11" s="214"/>
      <c r="RT11" s="214"/>
      <c r="RU11" s="214"/>
      <c r="RV11" s="214"/>
      <c r="RW11" s="214"/>
      <c r="RX11" s="214"/>
      <c r="RY11" s="214"/>
      <c r="RZ11" s="214"/>
      <c r="SA11" s="214"/>
      <c r="SB11" s="214"/>
      <c r="SC11" s="214"/>
      <c r="SD11" s="214"/>
      <c r="SE11" s="214"/>
      <c r="SF11" s="214"/>
      <c r="SG11" s="214"/>
      <c r="SH11" s="214"/>
      <c r="SI11" s="214"/>
      <c r="SJ11" s="214"/>
      <c r="SK11" s="214"/>
      <c r="SL11" s="214"/>
      <c r="SM11" s="214"/>
      <c r="SN11" s="214"/>
      <c r="SO11" s="214"/>
      <c r="SP11" s="214"/>
      <c r="SQ11" s="214"/>
      <c r="SR11" s="214"/>
      <c r="SS11" s="214"/>
      <c r="ST11" s="214"/>
      <c r="SU11" s="214"/>
      <c r="SV11" s="214"/>
      <c r="SW11" s="214"/>
      <c r="SX11" s="214"/>
      <c r="SY11" s="214"/>
      <c r="SZ11" s="214"/>
      <c r="TA11" s="214"/>
      <c r="TB11" s="214"/>
      <c r="TC11" s="214"/>
      <c r="TD11" s="214"/>
      <c r="TE11" s="214"/>
      <c r="TF11" s="214"/>
      <c r="TG11" s="214"/>
      <c r="TH11" s="214"/>
      <c r="TI11" s="214"/>
      <c r="TJ11" s="214"/>
      <c r="TK11" s="214"/>
      <c r="TL11" s="214"/>
      <c r="TM11" s="214"/>
      <c r="TN11" s="214"/>
      <c r="TO11" s="214"/>
      <c r="TP11" s="214"/>
      <c r="TQ11" s="214"/>
      <c r="TR11" s="214"/>
      <c r="TS11" s="214"/>
      <c r="TT11" s="214"/>
      <c r="TU11" s="214"/>
      <c r="TV11" s="214"/>
      <c r="TW11" s="214"/>
      <c r="TX11" s="214"/>
      <c r="TY11" s="214"/>
      <c r="TZ11" s="214" t="s">
        <v>117</v>
      </c>
      <c r="UA11" s="214"/>
      <c r="UB11" s="214"/>
      <c r="UC11" s="214"/>
      <c r="UD11" s="214"/>
      <c r="UE11" s="214"/>
      <c r="UF11" s="214"/>
      <c r="UG11" s="214"/>
      <c r="UH11" s="214"/>
      <c r="UI11" s="214"/>
      <c r="UJ11" s="214"/>
      <c r="UK11" s="214"/>
      <c r="UL11" s="214"/>
      <c r="UM11" s="214"/>
      <c r="UN11" s="214"/>
      <c r="UO11" s="214"/>
      <c r="UP11" s="214"/>
      <c r="UQ11" s="214"/>
      <c r="UR11" s="214"/>
      <c r="US11" s="214"/>
      <c r="UT11" s="214"/>
      <c r="UU11" s="214"/>
      <c r="UV11" s="214"/>
      <c r="UW11" s="214"/>
      <c r="UX11" s="214"/>
      <c r="UY11" s="214"/>
      <c r="UZ11" s="214"/>
      <c r="VA11" s="214"/>
      <c r="VB11" s="214"/>
      <c r="VC11" s="214"/>
      <c r="VD11" s="214"/>
      <c r="VE11" s="214"/>
      <c r="VF11" s="214"/>
      <c r="VG11" s="214"/>
      <c r="VH11" s="214"/>
      <c r="VI11" s="214"/>
      <c r="VJ11" s="214"/>
      <c r="VK11" s="214"/>
      <c r="VL11" s="214"/>
      <c r="VM11" s="214"/>
      <c r="VN11" s="214"/>
      <c r="VO11" s="214"/>
      <c r="VP11" s="214"/>
      <c r="VQ11" s="214"/>
      <c r="VR11" s="214"/>
      <c r="VS11" s="214"/>
      <c r="VT11" s="214"/>
      <c r="VU11" s="214"/>
      <c r="VV11" s="214"/>
      <c r="VW11" s="214"/>
      <c r="VX11" s="214"/>
      <c r="VY11" s="214"/>
      <c r="VZ11" s="214"/>
      <c r="WA11" s="214"/>
      <c r="WB11" s="214"/>
      <c r="WC11" s="214"/>
      <c r="WD11" s="214"/>
      <c r="WE11" s="214"/>
      <c r="WF11" s="214"/>
      <c r="WG11" s="214"/>
      <c r="WH11" s="214" t="s">
        <v>117</v>
      </c>
      <c r="WI11" s="214"/>
      <c r="WJ11" s="214"/>
      <c r="WK11" s="214"/>
      <c r="WL11" s="214"/>
      <c r="WM11" s="214"/>
      <c r="WN11" s="214"/>
      <c r="WO11" s="214"/>
      <c r="WP11" s="214"/>
      <c r="WQ11" s="214"/>
      <c r="WR11" s="214"/>
      <c r="WS11" s="214"/>
      <c r="WT11" s="214"/>
      <c r="WU11" s="214"/>
      <c r="WV11" s="214"/>
      <c r="WW11" s="214"/>
      <c r="WX11" s="214"/>
      <c r="WY11" s="214"/>
      <c r="WZ11" s="214"/>
      <c r="XA11" s="214"/>
      <c r="XB11" s="214"/>
      <c r="XC11" s="214"/>
      <c r="XD11" s="214"/>
      <c r="XE11" s="214"/>
      <c r="XF11" s="214"/>
      <c r="XG11" s="214"/>
      <c r="XH11" s="214"/>
      <c r="XI11" s="214"/>
      <c r="XJ11" s="214"/>
      <c r="XK11" s="214"/>
      <c r="XL11" s="214"/>
      <c r="XM11" s="214"/>
      <c r="XN11" s="214"/>
      <c r="XO11" s="214"/>
      <c r="XP11" s="214"/>
      <c r="XQ11" s="214"/>
      <c r="XR11" s="214"/>
      <c r="XS11" s="214"/>
      <c r="XT11" s="214"/>
      <c r="XU11" s="214"/>
      <c r="XV11" s="214"/>
      <c r="XW11" s="214"/>
      <c r="XX11" s="214"/>
      <c r="XY11" s="214"/>
      <c r="XZ11" s="214"/>
      <c r="YA11" s="214"/>
      <c r="YB11" s="214"/>
      <c r="YC11" s="214"/>
      <c r="YD11" s="214"/>
      <c r="YE11" s="214"/>
      <c r="YF11" s="214"/>
      <c r="YG11" s="214"/>
      <c r="YH11" s="214"/>
      <c r="YI11" s="214"/>
      <c r="YJ11" s="214"/>
      <c r="YK11" s="214"/>
      <c r="YL11" s="214"/>
      <c r="YM11" s="214"/>
      <c r="YN11" s="214"/>
      <c r="YO11" s="214"/>
      <c r="YP11" s="214" t="s">
        <v>116</v>
      </c>
      <c r="YQ11" s="214"/>
      <c r="YR11" s="214"/>
      <c r="YS11" s="214"/>
      <c r="YT11" s="214"/>
      <c r="YU11" s="214"/>
      <c r="YV11" s="214"/>
      <c r="YW11" s="214"/>
      <c r="YX11" s="214"/>
      <c r="YY11" s="214"/>
      <c r="YZ11" s="214"/>
      <c r="ZA11" s="214"/>
      <c r="ZB11" s="214"/>
      <c r="ZC11" s="214"/>
      <c r="ZD11" s="214"/>
      <c r="ZE11" s="214"/>
      <c r="ZF11" s="214"/>
      <c r="ZG11" s="214"/>
      <c r="ZH11" s="214"/>
      <c r="ZI11" s="214"/>
      <c r="ZJ11" s="214"/>
      <c r="ZK11" s="214"/>
      <c r="ZL11" s="214"/>
      <c r="ZM11" s="214"/>
      <c r="ZN11" s="214"/>
      <c r="ZO11" s="214"/>
      <c r="ZP11" s="214"/>
      <c r="ZQ11" s="214"/>
      <c r="ZR11" s="214"/>
      <c r="ZS11" s="214"/>
      <c r="ZT11" s="214"/>
      <c r="ZU11" s="214"/>
      <c r="ZV11" s="214"/>
      <c r="ZW11" s="214"/>
      <c r="ZX11" s="214"/>
      <c r="ZY11" s="214"/>
      <c r="ZZ11" s="214"/>
      <c r="AAA11" s="214"/>
      <c r="AAB11" s="214"/>
      <c r="AAC11" s="214"/>
      <c r="AAD11" s="214"/>
      <c r="AAE11" s="214"/>
      <c r="AAF11" s="214"/>
      <c r="AAG11" s="214"/>
      <c r="AAH11" s="214"/>
      <c r="AAI11" s="214"/>
      <c r="AAJ11" s="214"/>
      <c r="AAK11" s="214"/>
      <c r="AAL11" s="214"/>
      <c r="AAM11" s="214"/>
      <c r="AAN11" s="214"/>
      <c r="AAO11" s="214"/>
      <c r="AAP11" s="214"/>
      <c r="AAQ11" s="214"/>
      <c r="AAR11" s="214"/>
      <c r="AAS11" s="214"/>
      <c r="AAT11" s="214"/>
      <c r="AAU11" s="214"/>
      <c r="AAV11" s="214"/>
      <c r="AAW11" s="214"/>
      <c r="AAX11" s="214" t="s">
        <v>116</v>
      </c>
      <c r="AAY11" s="214"/>
      <c r="AAZ11" s="214"/>
      <c r="ABA11" s="214"/>
      <c r="ABB11" s="214"/>
      <c r="ABC11" s="214"/>
      <c r="ABD11" s="214"/>
      <c r="ABE11" s="214"/>
      <c r="ABF11" s="214"/>
      <c r="ABG11" s="214"/>
      <c r="ABH11" s="214"/>
      <c r="ABI11" s="214"/>
      <c r="ABJ11" s="214"/>
      <c r="ABK11" s="214"/>
      <c r="ABL11" s="214"/>
      <c r="ABM11" s="214"/>
      <c r="ABN11" s="214"/>
      <c r="ABO11" s="214"/>
      <c r="ABP11" s="214"/>
      <c r="ABQ11" s="214"/>
      <c r="ABR11" s="214"/>
      <c r="ABS11" s="214"/>
      <c r="ABT11" s="214"/>
      <c r="ABU11" s="214"/>
      <c r="ABV11" s="214"/>
      <c r="ABW11" s="214"/>
      <c r="ABX11" s="214"/>
      <c r="ABY11" s="214"/>
      <c r="ABZ11" s="214"/>
      <c r="ACA11" s="214"/>
      <c r="ACB11" s="214"/>
      <c r="ACC11" s="214"/>
      <c r="ACD11" s="214"/>
      <c r="ACE11" s="214"/>
      <c r="ACF11" s="214"/>
      <c r="ACG11" s="214"/>
      <c r="ACH11" s="214"/>
      <c r="ACI11" s="214"/>
      <c r="ACJ11" s="214"/>
      <c r="ACK11" s="214"/>
      <c r="ACL11" s="214"/>
      <c r="ACM11" s="214"/>
      <c r="ACN11" s="214"/>
      <c r="ACO11" s="214"/>
      <c r="ACP11" s="214"/>
      <c r="ACQ11" s="214"/>
      <c r="ACR11" s="214"/>
      <c r="ACS11" s="214"/>
      <c r="ACT11" s="214"/>
      <c r="ACU11" s="214"/>
      <c r="ACV11" s="214"/>
      <c r="ACW11" s="214"/>
      <c r="ACX11" s="214"/>
      <c r="ACY11" s="214"/>
      <c r="ACZ11" s="214"/>
      <c r="ADA11" s="214"/>
      <c r="ADB11" s="214"/>
      <c r="ADC11" s="214"/>
      <c r="ADD11" s="214"/>
      <c r="ADE11" s="214"/>
      <c r="ADF11" s="214" t="s">
        <v>115</v>
      </c>
      <c r="ADG11" s="214"/>
      <c r="ADH11" s="214"/>
      <c r="ADI11" s="214"/>
      <c r="ADJ11" s="214"/>
      <c r="ADK11" s="214"/>
      <c r="ADL11" s="214"/>
      <c r="ADM11" s="214"/>
      <c r="ADN11" s="214"/>
      <c r="ADO11" s="214"/>
      <c r="ADP11" s="214"/>
      <c r="ADQ11" s="214"/>
      <c r="ADR11" s="214"/>
      <c r="ADS11" s="214"/>
      <c r="ADT11" s="214"/>
      <c r="ADU11" s="214"/>
      <c r="ADV11" s="214"/>
      <c r="ADW11" s="214"/>
      <c r="ADX11" s="214"/>
      <c r="ADY11" s="214"/>
      <c r="ADZ11" s="214"/>
      <c r="AEA11" s="214"/>
      <c r="AEB11" s="214"/>
      <c r="AEC11" s="214"/>
      <c r="AED11" s="214"/>
      <c r="AEE11" s="214"/>
      <c r="AEF11" s="214"/>
      <c r="AEG11" s="214"/>
      <c r="AEH11" s="214"/>
      <c r="AEI11" s="214"/>
      <c r="AEJ11" s="214"/>
      <c r="AEK11" s="214"/>
      <c r="AEL11" s="214"/>
      <c r="AEM11" s="214"/>
      <c r="AEN11" s="214"/>
      <c r="AEO11" s="214"/>
      <c r="AEP11" s="214"/>
      <c r="AEQ11" s="214"/>
      <c r="AER11" s="214"/>
      <c r="AES11" s="214"/>
      <c r="AET11" s="214"/>
      <c r="AEU11" s="214"/>
      <c r="AEV11" s="214"/>
      <c r="AEW11" s="214"/>
      <c r="AEX11" s="214"/>
      <c r="AEY11" s="214"/>
      <c r="AEZ11" s="214"/>
      <c r="AFA11" s="214"/>
      <c r="AFB11" s="214"/>
      <c r="AFC11" s="214"/>
      <c r="AFD11" s="214"/>
      <c r="AFE11" s="214"/>
      <c r="AFF11" s="214"/>
      <c r="AFG11" s="214"/>
      <c r="AFH11" s="214"/>
      <c r="AFI11" s="214"/>
      <c r="AFJ11" s="214"/>
      <c r="AFK11" s="214"/>
      <c r="AFL11" s="214"/>
      <c r="AFM11" s="214"/>
      <c r="AFN11" s="214" t="s">
        <v>114</v>
      </c>
      <c r="AFO11" s="214"/>
      <c r="AFP11" s="214"/>
      <c r="AFQ11" s="214"/>
      <c r="AFR11" s="214"/>
      <c r="AFS11" s="214"/>
      <c r="AFT11" s="214"/>
      <c r="AFU11" s="214"/>
      <c r="AFV11" s="214"/>
      <c r="AFW11" s="214"/>
      <c r="AFX11" s="214"/>
      <c r="AFY11" s="214"/>
      <c r="AFZ11" s="214"/>
      <c r="AGA11" s="214"/>
      <c r="AGB11" s="214"/>
      <c r="AGC11" s="214"/>
      <c r="AGD11" s="214"/>
      <c r="AGE11" s="214"/>
      <c r="AGF11" s="214"/>
      <c r="AGG11" s="214"/>
      <c r="AGH11" s="214"/>
      <c r="AGI11" s="214"/>
      <c r="AGJ11" s="214"/>
      <c r="AGK11" s="214"/>
      <c r="AGL11" s="214"/>
      <c r="AGM11" s="214"/>
      <c r="AGN11" s="214"/>
      <c r="AGO11" s="214"/>
      <c r="AGP11" s="214"/>
      <c r="AGQ11" s="214"/>
      <c r="AGR11" s="214"/>
      <c r="AGS11" s="214"/>
      <c r="AGT11" s="214"/>
      <c r="AGU11" s="214"/>
      <c r="AGV11" s="214"/>
      <c r="AGW11" s="214"/>
      <c r="AGX11" s="214"/>
      <c r="AGY11" s="214"/>
      <c r="AGZ11" s="214"/>
      <c r="AHA11" s="214"/>
      <c r="AHB11" s="214"/>
      <c r="AHC11" s="214"/>
      <c r="AHD11" s="214"/>
      <c r="AHE11" s="214"/>
      <c r="AHF11" s="214"/>
      <c r="AHG11" s="214"/>
      <c r="AHH11" s="214"/>
      <c r="AHI11" s="214"/>
      <c r="AHJ11" s="214"/>
      <c r="AHK11" s="214"/>
      <c r="AHL11" s="214"/>
      <c r="AHM11" s="214"/>
      <c r="AHN11" s="214"/>
      <c r="AHO11" s="214"/>
      <c r="AHP11" s="214"/>
      <c r="AHQ11" s="214"/>
      <c r="AHR11" s="214"/>
      <c r="AHS11" s="214"/>
      <c r="AHT11" s="214"/>
      <c r="AHU11" s="214"/>
      <c r="AHV11" s="214" t="s">
        <v>114</v>
      </c>
      <c r="AHW11" s="214"/>
      <c r="AHX11" s="214"/>
      <c r="AHY11" s="214"/>
      <c r="AHZ11" s="214"/>
      <c r="AIA11" s="214"/>
      <c r="AIB11" s="214"/>
      <c r="AIC11" s="214"/>
      <c r="AID11" s="214"/>
      <c r="AIE11" s="214"/>
      <c r="AIF11" s="214"/>
      <c r="AIG11" s="214"/>
      <c r="AIH11" s="214"/>
      <c r="AII11" s="214"/>
      <c r="AIJ11" s="214"/>
      <c r="AIK11" s="214"/>
      <c r="AIL11" s="214"/>
      <c r="AIM11" s="214"/>
      <c r="AIN11" s="214"/>
      <c r="AIO11" s="214"/>
      <c r="AIP11" s="214"/>
      <c r="AIQ11" s="214"/>
      <c r="AIR11" s="214"/>
      <c r="AIS11" s="214"/>
      <c r="AIT11" s="214"/>
      <c r="AIU11" s="214"/>
      <c r="AIV11" s="214"/>
      <c r="AIW11" s="214"/>
      <c r="AIX11" s="214"/>
      <c r="AIY11" s="214"/>
      <c r="AIZ11" s="214"/>
      <c r="AJA11" s="214"/>
      <c r="AJB11" s="214"/>
      <c r="AJC11" s="214"/>
      <c r="AJD11" s="214"/>
      <c r="AJE11" s="214"/>
      <c r="AJF11" s="214"/>
      <c r="AJG11" s="214"/>
      <c r="AJH11" s="214"/>
      <c r="AJI11" s="214"/>
      <c r="AJJ11" s="214"/>
      <c r="AJK11" s="214"/>
      <c r="AJL11" s="214"/>
      <c r="AJM11" s="214"/>
      <c r="AJN11" s="214"/>
      <c r="AJO11" s="214"/>
      <c r="AJP11" s="214"/>
      <c r="AJQ11" s="214"/>
      <c r="AJR11" s="214"/>
      <c r="AJS11" s="214"/>
      <c r="AJT11" s="214"/>
      <c r="AJU11" s="214"/>
      <c r="AJV11" s="214"/>
      <c r="AJW11" s="214"/>
      <c r="AJX11" s="214"/>
      <c r="AJY11" s="214"/>
      <c r="AJZ11" s="214"/>
      <c r="AKA11" s="214"/>
      <c r="AKB11" s="214"/>
      <c r="AKC11" s="214"/>
      <c r="AKD11" s="214" t="s">
        <v>113</v>
      </c>
      <c r="AKE11" s="214"/>
      <c r="AKF11" s="214"/>
      <c r="AKG11" s="214"/>
      <c r="AKH11" s="214"/>
      <c r="AKI11" s="214"/>
      <c r="AKJ11" s="214"/>
      <c r="AKK11" s="214"/>
      <c r="AKL11" s="214"/>
      <c r="AKM11" s="214"/>
      <c r="AKN11" s="214"/>
      <c r="AKO11" s="214"/>
      <c r="AKP11" s="214"/>
      <c r="AKQ11" s="214"/>
      <c r="AKR11" s="214"/>
      <c r="AKS11" s="214"/>
      <c r="AKT11" s="214"/>
      <c r="AKU11" s="214"/>
      <c r="AKV11" s="214"/>
      <c r="AKW11" s="214"/>
      <c r="AKX11" s="214"/>
      <c r="AKY11" s="214"/>
      <c r="AKZ11" s="214"/>
      <c r="ALA11" s="214"/>
      <c r="ALB11" s="214"/>
      <c r="ALC11" s="214"/>
      <c r="ALD11" s="214"/>
      <c r="ALE11" s="214"/>
      <c r="ALF11" s="214"/>
      <c r="ALG11" s="214"/>
      <c r="ALH11" s="214"/>
      <c r="ALI11" s="214"/>
      <c r="ALJ11" s="214"/>
      <c r="ALK11" s="214"/>
      <c r="ALL11" s="214"/>
      <c r="ALM11" s="214"/>
      <c r="ALN11" s="214"/>
      <c r="ALO11" s="214"/>
      <c r="ALP11" s="214"/>
      <c r="ALQ11" s="214"/>
      <c r="ALR11" s="214"/>
      <c r="ALS11" s="214"/>
      <c r="ALT11" s="214"/>
      <c r="ALU11" s="214"/>
      <c r="ALV11" s="214"/>
      <c r="ALW11" s="214"/>
      <c r="ALX11" s="214"/>
      <c r="ALY11" s="214"/>
      <c r="ALZ11" s="214"/>
      <c r="AMA11" s="214"/>
      <c r="AMB11" s="214"/>
      <c r="AMC11" s="214"/>
      <c r="AMD11" s="214"/>
      <c r="AME11" s="214"/>
      <c r="AMF11" s="214"/>
      <c r="AMG11" s="214"/>
      <c r="AMH11" s="214"/>
      <c r="AMI11" s="214"/>
      <c r="AMJ11" s="214"/>
      <c r="AMK11" s="214"/>
      <c r="AML11" s="214" t="s">
        <v>113</v>
      </c>
      <c r="AMM11" s="214"/>
      <c r="AMN11" s="214"/>
      <c r="AMO11" s="214"/>
      <c r="AMP11" s="214"/>
      <c r="AMQ11" s="214"/>
      <c r="AMR11" s="214"/>
      <c r="AMS11" s="214"/>
      <c r="AMT11" s="214"/>
      <c r="AMU11" s="214"/>
      <c r="AMV11" s="214"/>
      <c r="AMW11" s="214"/>
      <c r="AMX11" s="214"/>
      <c r="AMY11" s="214"/>
      <c r="AMZ11" s="214"/>
      <c r="ANA11" s="214"/>
      <c r="ANB11" s="214"/>
      <c r="ANC11" s="214"/>
      <c r="AND11" s="214"/>
      <c r="ANE11" s="214"/>
      <c r="ANF11" s="214"/>
      <c r="ANG11" s="214"/>
      <c r="ANH11" s="214"/>
      <c r="ANI11" s="214"/>
      <c r="ANJ11" s="214"/>
      <c r="ANK11" s="214"/>
      <c r="ANL11" s="214"/>
      <c r="ANM11" s="214"/>
      <c r="ANN11" s="214"/>
      <c r="ANO11" s="214"/>
      <c r="ANP11" s="214"/>
      <c r="ANQ11" s="214"/>
      <c r="ANR11" s="214"/>
      <c r="ANS11" s="214"/>
      <c r="ANT11" s="214"/>
      <c r="ANU11" s="214"/>
      <c r="ANV11" s="214"/>
      <c r="ANW11" s="214"/>
      <c r="ANX11" s="214"/>
      <c r="ANY11" s="214"/>
      <c r="ANZ11" s="214"/>
      <c r="AOA11" s="214"/>
      <c r="AOB11" s="214"/>
      <c r="AOC11" s="214"/>
      <c r="AOD11" s="214"/>
      <c r="AOE11" s="214"/>
      <c r="AOF11" s="214"/>
      <c r="AOG11" s="214"/>
      <c r="AOH11" s="214"/>
      <c r="AOI11" s="214"/>
      <c r="AOJ11" s="214"/>
      <c r="AOK11" s="214"/>
      <c r="AOL11" s="214"/>
      <c r="AOM11" s="214"/>
      <c r="AON11" s="214"/>
      <c r="AOO11" s="214"/>
      <c r="AOP11" s="214"/>
      <c r="AOQ11" s="214"/>
      <c r="AOR11" s="214"/>
      <c r="AOS11" s="214"/>
      <c r="AOT11" s="214" t="s">
        <v>112</v>
      </c>
      <c r="AOU11" s="214"/>
      <c r="AOV11" s="214"/>
      <c r="AOW11" s="214"/>
      <c r="AOX11" s="214"/>
      <c r="AOY11" s="214"/>
      <c r="AOZ11" s="214"/>
      <c r="APA11" s="214"/>
      <c r="APB11" s="214"/>
      <c r="APC11" s="214"/>
      <c r="APD11" s="214"/>
      <c r="APE11" s="214"/>
      <c r="APF11" s="214"/>
      <c r="APG11" s="214"/>
      <c r="APH11" s="214"/>
      <c r="API11" s="214"/>
      <c r="APJ11" s="214"/>
      <c r="APK11" s="214"/>
      <c r="APL11" s="214"/>
      <c r="APM11" s="214"/>
      <c r="APN11" s="214"/>
      <c r="APO11" s="214"/>
      <c r="APP11" s="214"/>
      <c r="APQ11" s="214"/>
      <c r="APR11" s="214"/>
      <c r="APS11" s="214"/>
      <c r="APT11" s="214"/>
      <c r="APU11" s="214"/>
      <c r="APV11" s="214"/>
      <c r="APW11" s="214"/>
      <c r="APX11" s="214"/>
      <c r="APY11" s="214"/>
      <c r="APZ11" s="214"/>
      <c r="AQA11" s="214"/>
      <c r="AQB11" s="214"/>
      <c r="AQC11" s="214"/>
      <c r="AQD11" s="214"/>
      <c r="AQE11" s="214"/>
      <c r="AQF11" s="214"/>
      <c r="AQG11" s="214"/>
      <c r="AQH11" s="214"/>
      <c r="AQI11" s="214"/>
      <c r="AQJ11" s="214"/>
      <c r="AQK11" s="214"/>
      <c r="AQL11" s="214"/>
      <c r="AQM11" s="214"/>
      <c r="AQN11" s="214"/>
      <c r="AQO11" s="214"/>
      <c r="AQP11" s="214"/>
      <c r="AQQ11" s="214"/>
      <c r="AQR11" s="214"/>
      <c r="AQS11" s="214"/>
      <c r="AQT11" s="214"/>
      <c r="AQU11" s="214"/>
      <c r="AQV11" s="214"/>
      <c r="AQW11" s="214"/>
      <c r="AQX11" s="214"/>
      <c r="AQY11" s="214"/>
      <c r="AQZ11" s="214"/>
      <c r="ARA11" s="214"/>
      <c r="ARB11" s="214" t="s">
        <v>112</v>
      </c>
      <c r="ARC11" s="214"/>
      <c r="ARD11" s="214"/>
      <c r="ARE11" s="214"/>
      <c r="ARF11" s="214"/>
      <c r="ARG11" s="214"/>
      <c r="ARH11" s="214"/>
      <c r="ARI11" s="214"/>
      <c r="ARJ11" s="214"/>
      <c r="ARK11" s="214"/>
      <c r="ARL11" s="214"/>
      <c r="ARM11" s="214"/>
      <c r="ARN11" s="214"/>
      <c r="ARO11" s="214"/>
      <c r="ARP11" s="214"/>
      <c r="ARQ11" s="214"/>
      <c r="ARR11" s="214"/>
      <c r="ARS11" s="214"/>
      <c r="ART11" s="214"/>
      <c r="ARU11" s="214"/>
      <c r="ARV11" s="214"/>
      <c r="ARW11" s="214"/>
      <c r="ARX11" s="214"/>
      <c r="ARY11" s="214"/>
      <c r="ARZ11" s="214"/>
      <c r="ASA11" s="214"/>
      <c r="ASB11" s="214"/>
      <c r="ASC11" s="214"/>
      <c r="ASD11" s="214"/>
      <c r="ASE11" s="214"/>
      <c r="ASF11" s="214"/>
      <c r="ASG11" s="214"/>
      <c r="ASH11" s="214"/>
      <c r="ASI11" s="214"/>
      <c r="ASJ11" s="214"/>
      <c r="ASK11" s="214"/>
      <c r="ASL11" s="214"/>
      <c r="ASM11" s="214"/>
      <c r="ASN11" s="214"/>
      <c r="ASO11" s="214"/>
      <c r="ASP11" s="214"/>
      <c r="ASQ11" s="214"/>
      <c r="ASR11" s="214"/>
      <c r="ASS11" s="214"/>
      <c r="AST11" s="214"/>
      <c r="ASU11" s="214"/>
      <c r="ASV11" s="214"/>
      <c r="ASW11" s="214"/>
      <c r="ASX11" s="214"/>
      <c r="ASY11" s="214"/>
      <c r="ASZ11" s="214"/>
      <c r="ATA11" s="214"/>
      <c r="ATB11" s="214"/>
      <c r="ATC11" s="214"/>
      <c r="ATD11" s="214"/>
      <c r="ATE11" s="214"/>
      <c r="ATF11" s="214"/>
      <c r="ATG11" s="214"/>
      <c r="ATH11" s="214"/>
      <c r="ATI11" s="214"/>
      <c r="ATJ11" s="214" t="s">
        <v>111</v>
      </c>
      <c r="ATK11" s="214"/>
      <c r="ATL11" s="214"/>
      <c r="ATM11" s="214"/>
      <c r="ATN11" s="214"/>
      <c r="ATO11" s="214"/>
      <c r="ATP11" s="214"/>
      <c r="ATQ11" s="214"/>
      <c r="ATR11" s="214"/>
      <c r="ATS11" s="214"/>
      <c r="ATT11" s="214"/>
      <c r="ATU11" s="214"/>
      <c r="ATV11" s="214"/>
      <c r="ATW11" s="214"/>
      <c r="ATX11" s="214"/>
      <c r="ATY11" s="214"/>
      <c r="ATZ11" s="214"/>
      <c r="AUA11" s="214"/>
      <c r="AUB11" s="214"/>
      <c r="AUC11" s="214"/>
      <c r="AUD11" s="214"/>
      <c r="AUE11" s="214"/>
      <c r="AUF11" s="214"/>
      <c r="AUG11" s="214"/>
      <c r="AUH11" s="214"/>
      <c r="AUI11" s="214"/>
      <c r="AUJ11" s="214"/>
      <c r="AUK11" s="214"/>
      <c r="AUL11" s="214"/>
      <c r="AUM11" s="214"/>
      <c r="AUN11" s="214"/>
      <c r="AUO11" s="214"/>
      <c r="AUP11" s="214"/>
      <c r="AUQ11" s="214"/>
      <c r="AUR11" s="214"/>
      <c r="AUS11" s="214"/>
      <c r="AUT11" s="214"/>
      <c r="AUU11" s="214"/>
      <c r="AUV11" s="214"/>
      <c r="AUW11" s="214"/>
      <c r="AUX11" s="214"/>
      <c r="AUY11" s="214"/>
      <c r="AUZ11" s="214"/>
      <c r="AVA11" s="214"/>
      <c r="AVB11" s="214"/>
      <c r="AVC11" s="214"/>
      <c r="AVD11" s="214"/>
      <c r="AVE11" s="214"/>
      <c r="AVF11" s="214"/>
      <c r="AVG11" s="214"/>
      <c r="AVH11" s="214"/>
      <c r="AVI11" s="214"/>
      <c r="AVJ11" s="214"/>
      <c r="AVK11" s="214"/>
      <c r="AVL11" s="214"/>
      <c r="AVM11" s="214"/>
      <c r="AVN11" s="214"/>
      <c r="AVO11" s="214"/>
      <c r="AVP11" s="214"/>
      <c r="AVQ11" s="214"/>
      <c r="AVR11" s="214" t="s">
        <v>110</v>
      </c>
      <c r="AVS11" s="214"/>
      <c r="AVT11" s="214"/>
      <c r="AVU11" s="214"/>
      <c r="AVV11" s="214"/>
      <c r="AVW11" s="214"/>
      <c r="AVX11" s="214"/>
      <c r="AVY11" s="214"/>
      <c r="AVZ11" s="214"/>
      <c r="AWA11" s="214"/>
      <c r="AWB11" s="214"/>
      <c r="AWC11" s="214"/>
      <c r="AWD11" s="214"/>
      <c r="AWE11" s="214"/>
      <c r="AWF11" s="214"/>
      <c r="AWG11" s="214"/>
      <c r="AWH11" s="214"/>
      <c r="AWI11" s="214"/>
      <c r="AWJ11" s="214"/>
      <c r="AWK11" s="214"/>
      <c r="AWL11" s="214"/>
      <c r="AWM11" s="214"/>
      <c r="AWN11" s="214"/>
      <c r="AWO11" s="214"/>
      <c r="AWP11" s="214"/>
      <c r="AWQ11" s="214"/>
      <c r="AWR11" s="214"/>
      <c r="AWS11" s="214"/>
      <c r="AWT11" s="214"/>
      <c r="AWU11" s="214"/>
      <c r="AWV11" s="214"/>
      <c r="AWW11" s="214"/>
      <c r="AWX11" s="214"/>
      <c r="AWY11" s="214"/>
      <c r="AWZ11" s="214"/>
      <c r="AXA11" s="214"/>
      <c r="AXB11" s="214"/>
      <c r="AXC11" s="214"/>
      <c r="AXD11" s="214"/>
      <c r="AXE11" s="214"/>
      <c r="AXF11" s="214"/>
      <c r="AXG11" s="214"/>
      <c r="AXH11" s="214"/>
      <c r="AXI11" s="214"/>
      <c r="AXJ11" s="214"/>
      <c r="AXK11" s="214"/>
      <c r="AXL11" s="214"/>
      <c r="AXM11" s="214"/>
      <c r="AXN11" s="214"/>
      <c r="AXO11" s="214"/>
      <c r="AXP11" s="214"/>
      <c r="AXQ11" s="214"/>
      <c r="AXR11" s="214"/>
      <c r="AXS11" s="214"/>
      <c r="AXT11" s="214"/>
      <c r="AXU11" s="214"/>
      <c r="AXV11" s="214"/>
      <c r="AXW11" s="214"/>
      <c r="AXX11" s="214"/>
      <c r="AXY11" s="214"/>
      <c r="AXZ11" s="214" t="s">
        <v>110</v>
      </c>
      <c r="AYA11" s="214"/>
      <c r="AYB11" s="214"/>
      <c r="AYC11" s="214"/>
      <c r="AYD11" s="214"/>
      <c r="AYE11" s="214"/>
      <c r="AYF11" s="214"/>
      <c r="AYG11" s="214"/>
      <c r="AYH11" s="214"/>
      <c r="AYI11" s="214"/>
      <c r="AYJ11" s="214"/>
      <c r="AYK11" s="214"/>
      <c r="AYL11" s="214"/>
      <c r="AYM11" s="214"/>
      <c r="AYN11" s="214"/>
      <c r="AYO11" s="214"/>
      <c r="AYP11" s="214"/>
      <c r="AYQ11" s="214"/>
      <c r="AYR11" s="214"/>
      <c r="AYS11" s="214"/>
      <c r="AYT11" s="214"/>
      <c r="AYU11" s="214"/>
      <c r="AYV11" s="214"/>
      <c r="AYW11" s="214"/>
      <c r="AYX11" s="214"/>
      <c r="AYY11" s="214"/>
      <c r="AYZ11" s="214"/>
      <c r="AZA11" s="214"/>
      <c r="AZB11" s="214"/>
      <c r="AZC11" s="214"/>
      <c r="AZD11" s="214"/>
      <c r="AZE11" s="214"/>
      <c r="AZF11" s="214"/>
      <c r="AZG11" s="214"/>
      <c r="AZH11" s="214"/>
      <c r="AZI11" s="214"/>
      <c r="AZJ11" s="214"/>
      <c r="AZK11" s="214"/>
      <c r="AZL11" s="214"/>
      <c r="AZM11" s="214"/>
      <c r="AZN11" s="214"/>
      <c r="AZO11" s="214"/>
      <c r="AZP11" s="214"/>
      <c r="AZQ11" s="214"/>
      <c r="AZR11" s="214"/>
      <c r="AZS11" s="214"/>
      <c r="AZT11" s="214"/>
      <c r="AZU11" s="214"/>
      <c r="AZV11" s="214"/>
      <c r="AZW11" s="214"/>
      <c r="AZX11" s="214"/>
      <c r="AZY11" s="214"/>
      <c r="AZZ11" s="214"/>
      <c r="BAA11" s="214"/>
      <c r="BAB11" s="214"/>
      <c r="BAC11" s="214"/>
      <c r="BAD11" s="214"/>
      <c r="BAE11" s="214"/>
      <c r="BAF11" s="214"/>
      <c r="BAG11" s="214"/>
      <c r="BAH11" s="214" t="s">
        <v>109</v>
      </c>
      <c r="BAI11" s="214"/>
      <c r="BAJ11" s="214"/>
      <c r="BAK11" s="214"/>
      <c r="BAL11" s="214"/>
      <c r="BAM11" s="214"/>
      <c r="BAN11" s="214"/>
      <c r="BAO11" s="214"/>
      <c r="BAP11" s="214"/>
      <c r="BAQ11" s="214"/>
      <c r="BAR11" s="214"/>
      <c r="BAS11" s="214"/>
      <c r="BAT11" s="214"/>
      <c r="BAU11" s="214"/>
      <c r="BAV11" s="214"/>
      <c r="BAW11" s="214"/>
      <c r="BAX11" s="214"/>
      <c r="BAY11" s="214"/>
      <c r="BAZ11" s="214"/>
      <c r="BBA11" s="214"/>
      <c r="BBB11" s="214"/>
      <c r="BBC11" s="214"/>
      <c r="BBD11" s="214"/>
      <c r="BBE11" s="214"/>
      <c r="BBF11" s="214"/>
      <c r="BBG11" s="214"/>
      <c r="BBH11" s="214"/>
      <c r="BBI11" s="214"/>
      <c r="BBJ11" s="214"/>
      <c r="BBK11" s="214"/>
      <c r="BBL11" s="214"/>
      <c r="BBM11" s="214"/>
      <c r="BBN11" s="214"/>
      <c r="BBO11" s="214"/>
      <c r="BBP11" s="214"/>
      <c r="BBQ11" s="214"/>
      <c r="BBR11" s="214"/>
      <c r="BBS11" s="214"/>
      <c r="BBT11" s="214"/>
      <c r="BBU11" s="214"/>
      <c r="BBV11" s="214"/>
      <c r="BBW11" s="214"/>
      <c r="BBX11" s="214"/>
      <c r="BBY11" s="214"/>
      <c r="BBZ11" s="214"/>
      <c r="BCA11" s="214"/>
      <c r="BCB11" s="214"/>
      <c r="BCC11" s="214"/>
      <c r="BCD11" s="214"/>
      <c r="BCE11" s="214"/>
      <c r="BCF11" s="214"/>
      <c r="BCG11" s="214"/>
      <c r="BCH11" s="214"/>
      <c r="BCI11" s="214"/>
      <c r="BCJ11" s="214"/>
      <c r="BCK11" s="214"/>
      <c r="BCL11" s="214"/>
      <c r="BCM11" s="214"/>
      <c r="BCN11" s="214"/>
      <c r="BCO11" s="214"/>
      <c r="BCP11" s="214" t="s">
        <v>108</v>
      </c>
      <c r="BCQ11" s="214"/>
      <c r="BCR11" s="214"/>
      <c r="BCS11" s="214"/>
      <c r="BCT11" s="214"/>
      <c r="BCU11" s="214"/>
      <c r="BCV11" s="214"/>
      <c r="BCW11" s="214"/>
      <c r="BCX11" s="214"/>
      <c r="BCY11" s="214"/>
      <c r="BCZ11" s="214"/>
      <c r="BDA11" s="214"/>
      <c r="BDB11" s="214"/>
      <c r="BDC11" s="214"/>
      <c r="BDD11" s="214"/>
      <c r="BDE11" s="214"/>
      <c r="BDF11" s="214"/>
      <c r="BDG11" s="214"/>
      <c r="BDH11" s="214"/>
      <c r="BDI11" s="214"/>
      <c r="BDJ11" s="214"/>
      <c r="BDK11" s="214"/>
      <c r="BDL11" s="214"/>
      <c r="BDM11" s="214"/>
      <c r="BDN11" s="214"/>
      <c r="BDO11" s="214"/>
      <c r="BDP11" s="214"/>
      <c r="BDQ11" s="214"/>
      <c r="BDR11" s="214"/>
      <c r="BDS11" s="214"/>
      <c r="BDT11" s="214"/>
      <c r="BDU11" s="214"/>
      <c r="BDV11" s="214"/>
      <c r="BDW11" s="214"/>
      <c r="BDX11" s="214"/>
      <c r="BDY11" s="214"/>
      <c r="BDZ11" s="214"/>
      <c r="BEA11" s="214"/>
      <c r="BEB11" s="214"/>
      <c r="BEC11" s="214"/>
      <c r="BED11" s="214"/>
      <c r="BEE11" s="214"/>
      <c r="BEF11" s="214"/>
      <c r="BEG11" s="214"/>
      <c r="BEH11" s="214"/>
      <c r="BEI11" s="214"/>
      <c r="BEJ11" s="214"/>
      <c r="BEK11" s="214"/>
      <c r="BEL11" s="214"/>
      <c r="BEM11" s="214"/>
      <c r="BEN11" s="214"/>
      <c r="BEO11" s="214"/>
      <c r="BEP11" s="214"/>
      <c r="BEQ11" s="214"/>
      <c r="BER11" s="214"/>
      <c r="BES11" s="214"/>
      <c r="BET11" s="214"/>
      <c r="BEU11" s="214"/>
      <c r="BEV11" s="214"/>
      <c r="BEW11" s="214"/>
      <c r="BEX11" s="214" t="s">
        <v>108</v>
      </c>
      <c r="BEY11" s="214"/>
      <c r="BEZ11" s="214"/>
      <c r="BFA11" s="214"/>
      <c r="BFB11" s="214"/>
      <c r="BFC11" s="214"/>
      <c r="BFD11" s="214"/>
      <c r="BFE11" s="214"/>
      <c r="BFF11" s="214"/>
      <c r="BFG11" s="214"/>
      <c r="BFH11" s="214"/>
      <c r="BFI11" s="214"/>
      <c r="BFJ11" s="214"/>
      <c r="BFK11" s="214"/>
      <c r="BFL11" s="214"/>
      <c r="BFM11" s="214"/>
      <c r="BFN11" s="214"/>
      <c r="BFO11" s="214"/>
      <c r="BFP11" s="214"/>
      <c r="BFQ11" s="214"/>
      <c r="BFR11" s="214"/>
      <c r="BFS11" s="214"/>
      <c r="BFT11" s="214"/>
      <c r="BFU11" s="214"/>
      <c r="BFV11" s="214"/>
      <c r="BFW11" s="214"/>
      <c r="BFX11" s="214"/>
      <c r="BFY11" s="214"/>
      <c r="BFZ11" s="214"/>
      <c r="BGA11" s="214"/>
      <c r="BGB11" s="214"/>
      <c r="BGC11" s="214"/>
      <c r="BGD11" s="214"/>
      <c r="BGE11" s="214"/>
      <c r="BGF11" s="214"/>
      <c r="BGG11" s="214"/>
      <c r="BGH11" s="214"/>
      <c r="BGI11" s="214"/>
      <c r="BGJ11" s="214"/>
      <c r="BGK11" s="214"/>
      <c r="BGL11" s="214"/>
      <c r="BGM11" s="214"/>
      <c r="BGN11" s="214"/>
      <c r="BGO11" s="214"/>
      <c r="BGP11" s="214"/>
      <c r="BGQ11" s="214"/>
      <c r="BGR11" s="214"/>
      <c r="BGS11" s="214"/>
      <c r="BGT11" s="214"/>
      <c r="BGU11" s="214"/>
      <c r="BGV11" s="214"/>
      <c r="BGW11" s="214"/>
      <c r="BGX11" s="214"/>
      <c r="BGY11" s="214"/>
      <c r="BGZ11" s="214"/>
      <c r="BHA11" s="214"/>
      <c r="BHB11" s="214"/>
      <c r="BHC11" s="214"/>
      <c r="BHD11" s="214"/>
      <c r="BHE11" s="214"/>
      <c r="BHF11" s="214" t="s">
        <v>107</v>
      </c>
      <c r="BHG11" s="214"/>
      <c r="BHH11" s="214"/>
      <c r="BHI11" s="214"/>
      <c r="BHJ11" s="214"/>
      <c r="BHK11" s="214"/>
      <c r="BHL11" s="214"/>
      <c r="BHM11" s="214"/>
      <c r="BHN11" s="214"/>
      <c r="BHO11" s="214"/>
      <c r="BHP11" s="214"/>
      <c r="BHQ11" s="214"/>
      <c r="BHR11" s="214"/>
      <c r="BHS11" s="214"/>
      <c r="BHT11" s="214"/>
      <c r="BHU11" s="214"/>
      <c r="BHV11" s="214"/>
      <c r="BHW11" s="214"/>
      <c r="BHX11" s="214"/>
      <c r="BHY11" s="214"/>
      <c r="BHZ11" s="214"/>
      <c r="BIA11" s="214"/>
      <c r="BIB11" s="214"/>
      <c r="BIC11" s="214"/>
      <c r="BID11" s="214"/>
      <c r="BIE11" s="214"/>
      <c r="BIF11" s="214"/>
      <c r="BIG11" s="214"/>
      <c r="BIH11" s="214"/>
      <c r="BII11" s="214"/>
      <c r="BIJ11" s="214"/>
      <c r="BIK11" s="214"/>
      <c r="BIL11" s="214"/>
      <c r="BIM11" s="214"/>
      <c r="BIN11" s="214"/>
      <c r="BIO11" s="214"/>
      <c r="BIP11" s="214"/>
      <c r="BIQ11" s="214"/>
      <c r="BIR11" s="214"/>
      <c r="BIS11" s="214"/>
      <c r="BIT11" s="214"/>
      <c r="BIU11" s="214"/>
      <c r="BIV11" s="214"/>
      <c r="BIW11" s="214"/>
      <c r="BIX11" s="214"/>
      <c r="BIY11" s="214"/>
      <c r="BIZ11" s="214"/>
      <c r="BJA11" s="214"/>
      <c r="BJB11" s="214"/>
      <c r="BJC11" s="214"/>
      <c r="BJD11" s="214"/>
      <c r="BJE11" s="214"/>
      <c r="BJF11" s="214"/>
      <c r="BJG11" s="214"/>
      <c r="BJH11" s="214"/>
      <c r="BJI11" s="214"/>
      <c r="BJJ11" s="214"/>
      <c r="BJK11" s="214"/>
      <c r="BJL11" s="214"/>
      <c r="BJM11" s="214"/>
    </row>
    <row r="12" spans="1:1625" ht="49.5" customHeight="1" thickBot="1" x14ac:dyDescent="0.3">
      <c r="B12" s="143"/>
      <c r="C12" s="227"/>
      <c r="D12" s="227"/>
      <c r="E12" s="227"/>
      <c r="F12" s="221" t="s">
        <v>78</v>
      </c>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221"/>
      <c r="BJ12" s="221"/>
      <c r="BK12" s="221"/>
      <c r="BL12" s="221"/>
      <c r="BM12" s="221"/>
      <c r="BN12" s="221" t="s">
        <v>79</v>
      </c>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22" t="s">
        <v>78</v>
      </c>
      <c r="DW12" s="222"/>
      <c r="DX12" s="222"/>
      <c r="DY12" s="222"/>
      <c r="DZ12" s="222"/>
      <c r="EA12" s="222"/>
      <c r="EB12" s="222"/>
      <c r="EC12" s="222"/>
      <c r="ED12" s="222"/>
      <c r="EE12" s="222"/>
      <c r="EF12" s="222"/>
      <c r="EG12" s="222"/>
      <c r="EH12" s="222"/>
      <c r="EI12" s="222"/>
      <c r="EJ12" s="222"/>
      <c r="EK12" s="222"/>
      <c r="EL12" s="222"/>
      <c r="EM12" s="222"/>
      <c r="EN12" s="222"/>
      <c r="EO12" s="222"/>
      <c r="EP12" s="222"/>
      <c r="EQ12" s="222"/>
      <c r="ER12" s="222"/>
      <c r="ES12" s="222"/>
      <c r="ET12" s="222"/>
      <c r="EU12" s="222"/>
      <c r="EV12" s="222"/>
      <c r="EW12" s="222"/>
      <c r="EX12" s="222"/>
      <c r="EY12" s="222"/>
      <c r="EZ12" s="222"/>
      <c r="FA12" s="222"/>
      <c r="FB12" s="222"/>
      <c r="FC12" s="222"/>
      <c r="FD12" s="222"/>
      <c r="FE12" s="222"/>
      <c r="FF12" s="222"/>
      <c r="FG12" s="222"/>
      <c r="FH12" s="222"/>
      <c r="FI12" s="222"/>
      <c r="FJ12" s="222"/>
      <c r="FK12" s="222"/>
      <c r="FL12" s="222"/>
      <c r="FM12" s="222"/>
      <c r="FN12" s="222"/>
      <c r="FO12" s="222"/>
      <c r="FP12" s="222"/>
      <c r="FQ12" s="222"/>
      <c r="FR12" s="222"/>
      <c r="FS12" s="222"/>
      <c r="FT12" s="222"/>
      <c r="FU12" s="222"/>
      <c r="FV12" s="222"/>
      <c r="FW12" s="222"/>
      <c r="FX12" s="222"/>
      <c r="FY12" s="222"/>
      <c r="FZ12" s="222"/>
      <c r="GA12" s="222"/>
      <c r="GB12" s="222"/>
      <c r="GC12" s="222"/>
      <c r="GD12" s="215" t="s">
        <v>79</v>
      </c>
      <c r="GE12" s="215"/>
      <c r="GF12" s="215"/>
      <c r="GG12" s="215"/>
      <c r="GH12" s="215"/>
      <c r="GI12" s="215"/>
      <c r="GJ12" s="215"/>
      <c r="GK12" s="215"/>
      <c r="GL12" s="215"/>
      <c r="GM12" s="215"/>
      <c r="GN12" s="215"/>
      <c r="GO12" s="215"/>
      <c r="GP12" s="215"/>
      <c r="GQ12" s="215"/>
      <c r="GR12" s="215"/>
      <c r="GS12" s="215"/>
      <c r="GT12" s="215"/>
      <c r="GU12" s="215"/>
      <c r="GV12" s="215"/>
      <c r="GW12" s="215"/>
      <c r="GX12" s="215"/>
      <c r="GY12" s="215"/>
      <c r="GZ12" s="215"/>
      <c r="HA12" s="215"/>
      <c r="HB12" s="215"/>
      <c r="HC12" s="215"/>
      <c r="HD12" s="215"/>
      <c r="HE12" s="215"/>
      <c r="HF12" s="215"/>
      <c r="HG12" s="215"/>
      <c r="HH12" s="215"/>
      <c r="HI12" s="215"/>
      <c r="HJ12" s="215"/>
      <c r="HK12" s="215"/>
      <c r="HL12" s="215"/>
      <c r="HM12" s="215"/>
      <c r="HN12" s="215"/>
      <c r="HO12" s="215"/>
      <c r="HP12" s="215"/>
      <c r="HQ12" s="215"/>
      <c r="HR12" s="215"/>
      <c r="HS12" s="215"/>
      <c r="HT12" s="215"/>
      <c r="HU12" s="215"/>
      <c r="HV12" s="215"/>
      <c r="HW12" s="215"/>
      <c r="HX12" s="215"/>
      <c r="HY12" s="215"/>
      <c r="HZ12" s="215"/>
      <c r="IA12" s="215"/>
      <c r="IB12" s="215"/>
      <c r="IC12" s="215"/>
      <c r="ID12" s="215"/>
      <c r="IE12" s="215"/>
      <c r="IF12" s="215"/>
      <c r="IG12" s="215"/>
      <c r="IH12" s="215"/>
      <c r="II12" s="215"/>
      <c r="IJ12" s="215"/>
      <c r="IK12" s="215"/>
      <c r="IL12" s="215" t="s">
        <v>78</v>
      </c>
      <c r="IM12" s="215"/>
      <c r="IN12" s="215"/>
      <c r="IO12" s="215"/>
      <c r="IP12" s="215"/>
      <c r="IQ12" s="215"/>
      <c r="IR12" s="215"/>
      <c r="IS12" s="215"/>
      <c r="IT12" s="215"/>
      <c r="IU12" s="215"/>
      <c r="IV12" s="215"/>
      <c r="IW12" s="215"/>
      <c r="IX12" s="215"/>
      <c r="IY12" s="215"/>
      <c r="IZ12" s="215"/>
      <c r="JA12" s="215"/>
      <c r="JB12" s="215"/>
      <c r="JC12" s="215"/>
      <c r="JD12" s="215"/>
      <c r="JE12" s="215"/>
      <c r="JF12" s="215"/>
      <c r="JG12" s="215"/>
      <c r="JH12" s="215"/>
      <c r="JI12" s="215"/>
      <c r="JJ12" s="215"/>
      <c r="JK12" s="215"/>
      <c r="JL12" s="215"/>
      <c r="JM12" s="215"/>
      <c r="JN12" s="215"/>
      <c r="JO12" s="215"/>
      <c r="JP12" s="215"/>
      <c r="JQ12" s="215"/>
      <c r="JR12" s="215"/>
      <c r="JS12" s="215"/>
      <c r="JT12" s="215"/>
      <c r="JU12" s="215"/>
      <c r="JV12" s="215"/>
      <c r="JW12" s="215"/>
      <c r="JX12" s="215"/>
      <c r="JY12" s="215"/>
      <c r="JZ12" s="215"/>
      <c r="KA12" s="215"/>
      <c r="KB12" s="215"/>
      <c r="KC12" s="215"/>
      <c r="KD12" s="215"/>
      <c r="KE12" s="215"/>
      <c r="KF12" s="215"/>
      <c r="KG12" s="215"/>
      <c r="KH12" s="215"/>
      <c r="KI12" s="215"/>
      <c r="KJ12" s="215"/>
      <c r="KK12" s="215"/>
      <c r="KL12" s="215"/>
      <c r="KM12" s="215"/>
      <c r="KN12" s="215"/>
      <c r="KO12" s="215"/>
      <c r="KP12" s="215"/>
      <c r="KQ12" s="215"/>
      <c r="KR12" s="215"/>
      <c r="KS12" s="215"/>
      <c r="KT12" s="215" t="s">
        <v>79</v>
      </c>
      <c r="KU12" s="215"/>
      <c r="KV12" s="215"/>
      <c r="KW12" s="215"/>
      <c r="KX12" s="215"/>
      <c r="KY12" s="215"/>
      <c r="KZ12" s="215"/>
      <c r="LA12" s="215"/>
      <c r="LB12" s="215"/>
      <c r="LC12" s="215"/>
      <c r="LD12" s="215"/>
      <c r="LE12" s="215"/>
      <c r="LF12" s="215"/>
      <c r="LG12" s="215"/>
      <c r="LH12" s="215"/>
      <c r="LI12" s="215"/>
      <c r="LJ12" s="215"/>
      <c r="LK12" s="215"/>
      <c r="LL12" s="215"/>
      <c r="LM12" s="215"/>
      <c r="LN12" s="215"/>
      <c r="LO12" s="215"/>
      <c r="LP12" s="215"/>
      <c r="LQ12" s="215"/>
      <c r="LR12" s="215"/>
      <c r="LS12" s="215"/>
      <c r="LT12" s="215"/>
      <c r="LU12" s="215"/>
      <c r="LV12" s="215"/>
      <c r="LW12" s="215"/>
      <c r="LX12" s="215"/>
      <c r="LY12" s="215"/>
      <c r="LZ12" s="215"/>
      <c r="MA12" s="215"/>
      <c r="MB12" s="215"/>
      <c r="MC12" s="215"/>
      <c r="MD12" s="215"/>
      <c r="ME12" s="215"/>
      <c r="MF12" s="215"/>
      <c r="MG12" s="215"/>
      <c r="MH12" s="215"/>
      <c r="MI12" s="215"/>
      <c r="MJ12" s="215"/>
      <c r="MK12" s="215"/>
      <c r="ML12" s="215"/>
      <c r="MM12" s="215"/>
      <c r="MN12" s="215"/>
      <c r="MO12" s="215"/>
      <c r="MP12" s="215"/>
      <c r="MQ12" s="215"/>
      <c r="MR12" s="215"/>
      <c r="MS12" s="215"/>
      <c r="MT12" s="215"/>
      <c r="MU12" s="215"/>
      <c r="MV12" s="215"/>
      <c r="MW12" s="215"/>
      <c r="MX12" s="215"/>
      <c r="MY12" s="215"/>
      <c r="MZ12" s="215"/>
      <c r="NA12" s="215"/>
      <c r="NB12" s="215" t="s">
        <v>79</v>
      </c>
      <c r="NC12" s="215"/>
      <c r="ND12" s="215"/>
      <c r="NE12" s="215"/>
      <c r="NF12" s="215"/>
      <c r="NG12" s="215"/>
      <c r="NH12" s="215"/>
      <c r="NI12" s="215"/>
      <c r="NJ12" s="215"/>
      <c r="NK12" s="215"/>
      <c r="NL12" s="215"/>
      <c r="NM12" s="215"/>
      <c r="NN12" s="215"/>
      <c r="NO12" s="215"/>
      <c r="NP12" s="215"/>
      <c r="NQ12" s="215"/>
      <c r="NR12" s="215"/>
      <c r="NS12" s="215"/>
      <c r="NT12" s="215"/>
      <c r="NU12" s="215"/>
      <c r="NV12" s="215"/>
      <c r="NW12" s="215"/>
      <c r="NX12" s="215"/>
      <c r="NY12" s="215"/>
      <c r="NZ12" s="215"/>
      <c r="OA12" s="215"/>
      <c r="OB12" s="215"/>
      <c r="OC12" s="215"/>
      <c r="OD12" s="215"/>
      <c r="OE12" s="215"/>
      <c r="OF12" s="215"/>
      <c r="OG12" s="215"/>
      <c r="OH12" s="215"/>
      <c r="OI12" s="215"/>
      <c r="OJ12" s="215"/>
      <c r="OK12" s="215"/>
      <c r="OL12" s="215"/>
      <c r="OM12" s="215"/>
      <c r="ON12" s="215"/>
      <c r="OO12" s="215"/>
      <c r="OP12" s="215"/>
      <c r="OQ12" s="215"/>
      <c r="OR12" s="215"/>
      <c r="OS12" s="215"/>
      <c r="OT12" s="215"/>
      <c r="OU12" s="215"/>
      <c r="OV12" s="215"/>
      <c r="OW12" s="215"/>
      <c r="OX12" s="215"/>
      <c r="OY12" s="215"/>
      <c r="OZ12" s="215"/>
      <c r="PA12" s="215"/>
      <c r="PB12" s="215"/>
      <c r="PC12" s="215"/>
      <c r="PD12" s="215"/>
      <c r="PE12" s="215"/>
      <c r="PF12" s="215"/>
      <c r="PG12" s="215"/>
      <c r="PH12" s="215"/>
      <c r="PI12" s="215"/>
      <c r="PJ12" s="215" t="s">
        <v>78</v>
      </c>
      <c r="PK12" s="215"/>
      <c r="PL12" s="215"/>
      <c r="PM12" s="215"/>
      <c r="PN12" s="215"/>
      <c r="PO12" s="215"/>
      <c r="PP12" s="215"/>
      <c r="PQ12" s="215"/>
      <c r="PR12" s="215"/>
      <c r="PS12" s="215"/>
      <c r="PT12" s="215"/>
      <c r="PU12" s="215"/>
      <c r="PV12" s="215"/>
      <c r="PW12" s="215"/>
      <c r="PX12" s="215"/>
      <c r="PY12" s="215"/>
      <c r="PZ12" s="215"/>
      <c r="QA12" s="215"/>
      <c r="QB12" s="215"/>
      <c r="QC12" s="215"/>
      <c r="QD12" s="215"/>
      <c r="QE12" s="215"/>
      <c r="QF12" s="215"/>
      <c r="QG12" s="215"/>
      <c r="QH12" s="215"/>
      <c r="QI12" s="215"/>
      <c r="QJ12" s="215"/>
      <c r="QK12" s="215"/>
      <c r="QL12" s="215"/>
      <c r="QM12" s="215"/>
      <c r="QN12" s="215"/>
      <c r="QO12" s="215"/>
      <c r="QP12" s="215"/>
      <c r="QQ12" s="215"/>
      <c r="QR12" s="215"/>
      <c r="QS12" s="215"/>
      <c r="QT12" s="215"/>
      <c r="QU12" s="215"/>
      <c r="QV12" s="215"/>
      <c r="QW12" s="215"/>
      <c r="QX12" s="215"/>
      <c r="QY12" s="215"/>
      <c r="QZ12" s="215"/>
      <c r="RA12" s="215"/>
      <c r="RB12" s="215"/>
      <c r="RC12" s="215"/>
      <c r="RD12" s="215"/>
      <c r="RE12" s="215"/>
      <c r="RF12" s="215"/>
      <c r="RG12" s="215"/>
      <c r="RH12" s="215"/>
      <c r="RI12" s="215"/>
      <c r="RJ12" s="215"/>
      <c r="RK12" s="215"/>
      <c r="RL12" s="215"/>
      <c r="RM12" s="215"/>
      <c r="RN12" s="215"/>
      <c r="RO12" s="215"/>
      <c r="RP12" s="215"/>
      <c r="RQ12" s="215"/>
      <c r="RR12" s="215" t="s">
        <v>79</v>
      </c>
      <c r="RS12" s="215"/>
      <c r="RT12" s="215"/>
      <c r="RU12" s="215"/>
      <c r="RV12" s="215"/>
      <c r="RW12" s="215"/>
      <c r="RX12" s="215"/>
      <c r="RY12" s="215"/>
      <c r="RZ12" s="215"/>
      <c r="SA12" s="215"/>
      <c r="SB12" s="215"/>
      <c r="SC12" s="215"/>
      <c r="SD12" s="215"/>
      <c r="SE12" s="215"/>
      <c r="SF12" s="215"/>
      <c r="SG12" s="215"/>
      <c r="SH12" s="215"/>
      <c r="SI12" s="215"/>
      <c r="SJ12" s="215"/>
      <c r="SK12" s="215"/>
      <c r="SL12" s="215"/>
      <c r="SM12" s="215"/>
      <c r="SN12" s="215"/>
      <c r="SO12" s="215"/>
      <c r="SP12" s="215"/>
      <c r="SQ12" s="215"/>
      <c r="SR12" s="215"/>
      <c r="SS12" s="215"/>
      <c r="ST12" s="215"/>
      <c r="SU12" s="215"/>
      <c r="SV12" s="215"/>
      <c r="SW12" s="215"/>
      <c r="SX12" s="215"/>
      <c r="SY12" s="215"/>
      <c r="SZ12" s="215"/>
      <c r="TA12" s="215"/>
      <c r="TB12" s="215"/>
      <c r="TC12" s="215"/>
      <c r="TD12" s="215"/>
      <c r="TE12" s="215"/>
      <c r="TF12" s="215"/>
      <c r="TG12" s="215"/>
      <c r="TH12" s="215"/>
      <c r="TI12" s="215"/>
      <c r="TJ12" s="215"/>
      <c r="TK12" s="215"/>
      <c r="TL12" s="215"/>
      <c r="TM12" s="215"/>
      <c r="TN12" s="215"/>
      <c r="TO12" s="215"/>
      <c r="TP12" s="215"/>
      <c r="TQ12" s="215"/>
      <c r="TR12" s="215"/>
      <c r="TS12" s="215"/>
      <c r="TT12" s="215"/>
      <c r="TU12" s="215"/>
      <c r="TV12" s="215"/>
      <c r="TW12" s="215"/>
      <c r="TX12" s="215"/>
      <c r="TY12" s="215"/>
      <c r="TZ12" s="215" t="s">
        <v>78</v>
      </c>
      <c r="UA12" s="215"/>
      <c r="UB12" s="215"/>
      <c r="UC12" s="215"/>
      <c r="UD12" s="215"/>
      <c r="UE12" s="215"/>
      <c r="UF12" s="215"/>
      <c r="UG12" s="215"/>
      <c r="UH12" s="215"/>
      <c r="UI12" s="215"/>
      <c r="UJ12" s="215"/>
      <c r="UK12" s="215"/>
      <c r="UL12" s="215"/>
      <c r="UM12" s="215"/>
      <c r="UN12" s="215"/>
      <c r="UO12" s="215"/>
      <c r="UP12" s="215"/>
      <c r="UQ12" s="215"/>
      <c r="UR12" s="215"/>
      <c r="US12" s="215"/>
      <c r="UT12" s="215"/>
      <c r="UU12" s="215"/>
      <c r="UV12" s="215"/>
      <c r="UW12" s="215"/>
      <c r="UX12" s="215"/>
      <c r="UY12" s="215"/>
      <c r="UZ12" s="215"/>
      <c r="VA12" s="215"/>
      <c r="VB12" s="215"/>
      <c r="VC12" s="215"/>
      <c r="VD12" s="215"/>
      <c r="VE12" s="215"/>
      <c r="VF12" s="215"/>
      <c r="VG12" s="215"/>
      <c r="VH12" s="215"/>
      <c r="VI12" s="215"/>
      <c r="VJ12" s="215"/>
      <c r="VK12" s="215"/>
      <c r="VL12" s="215"/>
      <c r="VM12" s="215"/>
      <c r="VN12" s="215"/>
      <c r="VO12" s="215"/>
      <c r="VP12" s="215"/>
      <c r="VQ12" s="215"/>
      <c r="VR12" s="215"/>
      <c r="VS12" s="215"/>
      <c r="VT12" s="215"/>
      <c r="VU12" s="215"/>
      <c r="VV12" s="215"/>
      <c r="VW12" s="215"/>
      <c r="VX12" s="215"/>
      <c r="VY12" s="215"/>
      <c r="VZ12" s="215"/>
      <c r="WA12" s="215"/>
      <c r="WB12" s="215"/>
      <c r="WC12" s="215"/>
      <c r="WD12" s="215"/>
      <c r="WE12" s="215"/>
      <c r="WF12" s="215"/>
      <c r="WG12" s="215"/>
      <c r="WH12" s="215" t="s">
        <v>79</v>
      </c>
      <c r="WI12" s="215"/>
      <c r="WJ12" s="215"/>
      <c r="WK12" s="215"/>
      <c r="WL12" s="215"/>
      <c r="WM12" s="215"/>
      <c r="WN12" s="215"/>
      <c r="WO12" s="215"/>
      <c r="WP12" s="215"/>
      <c r="WQ12" s="215"/>
      <c r="WR12" s="215"/>
      <c r="WS12" s="215"/>
      <c r="WT12" s="215"/>
      <c r="WU12" s="215"/>
      <c r="WV12" s="215"/>
      <c r="WW12" s="215"/>
      <c r="WX12" s="215"/>
      <c r="WY12" s="215"/>
      <c r="WZ12" s="215"/>
      <c r="XA12" s="215"/>
      <c r="XB12" s="215"/>
      <c r="XC12" s="215"/>
      <c r="XD12" s="215"/>
      <c r="XE12" s="215"/>
      <c r="XF12" s="215"/>
      <c r="XG12" s="215"/>
      <c r="XH12" s="215"/>
      <c r="XI12" s="215"/>
      <c r="XJ12" s="215"/>
      <c r="XK12" s="215"/>
      <c r="XL12" s="215"/>
      <c r="XM12" s="215"/>
      <c r="XN12" s="215"/>
      <c r="XO12" s="215"/>
      <c r="XP12" s="215"/>
      <c r="XQ12" s="215"/>
      <c r="XR12" s="215"/>
      <c r="XS12" s="215"/>
      <c r="XT12" s="215"/>
      <c r="XU12" s="215"/>
      <c r="XV12" s="215"/>
      <c r="XW12" s="215"/>
      <c r="XX12" s="215"/>
      <c r="XY12" s="215"/>
      <c r="XZ12" s="215"/>
      <c r="YA12" s="215"/>
      <c r="YB12" s="215"/>
      <c r="YC12" s="215"/>
      <c r="YD12" s="215"/>
      <c r="YE12" s="215"/>
      <c r="YF12" s="215"/>
      <c r="YG12" s="215"/>
      <c r="YH12" s="215"/>
      <c r="YI12" s="215"/>
      <c r="YJ12" s="215"/>
      <c r="YK12" s="215"/>
      <c r="YL12" s="215"/>
      <c r="YM12" s="215"/>
      <c r="YN12" s="215"/>
      <c r="YO12" s="215"/>
      <c r="YP12" s="215" t="s">
        <v>78</v>
      </c>
      <c r="YQ12" s="215"/>
      <c r="YR12" s="215"/>
      <c r="YS12" s="215"/>
      <c r="YT12" s="215"/>
      <c r="YU12" s="215"/>
      <c r="YV12" s="215"/>
      <c r="YW12" s="215"/>
      <c r="YX12" s="215"/>
      <c r="YY12" s="215"/>
      <c r="YZ12" s="215"/>
      <c r="ZA12" s="215"/>
      <c r="ZB12" s="215"/>
      <c r="ZC12" s="215"/>
      <c r="ZD12" s="215"/>
      <c r="ZE12" s="215"/>
      <c r="ZF12" s="215"/>
      <c r="ZG12" s="215"/>
      <c r="ZH12" s="215"/>
      <c r="ZI12" s="215"/>
      <c r="ZJ12" s="215"/>
      <c r="ZK12" s="215"/>
      <c r="ZL12" s="215"/>
      <c r="ZM12" s="215"/>
      <c r="ZN12" s="215"/>
      <c r="ZO12" s="215"/>
      <c r="ZP12" s="215"/>
      <c r="ZQ12" s="215"/>
      <c r="ZR12" s="215"/>
      <c r="ZS12" s="215"/>
      <c r="ZT12" s="215"/>
      <c r="ZU12" s="215"/>
      <c r="ZV12" s="215"/>
      <c r="ZW12" s="215"/>
      <c r="ZX12" s="215"/>
      <c r="ZY12" s="215"/>
      <c r="ZZ12" s="215"/>
      <c r="AAA12" s="215"/>
      <c r="AAB12" s="215"/>
      <c r="AAC12" s="215"/>
      <c r="AAD12" s="215"/>
      <c r="AAE12" s="215"/>
      <c r="AAF12" s="215"/>
      <c r="AAG12" s="215"/>
      <c r="AAH12" s="215"/>
      <c r="AAI12" s="215"/>
      <c r="AAJ12" s="215"/>
      <c r="AAK12" s="215"/>
      <c r="AAL12" s="215"/>
      <c r="AAM12" s="215"/>
      <c r="AAN12" s="215"/>
      <c r="AAO12" s="215"/>
      <c r="AAP12" s="215"/>
      <c r="AAQ12" s="215"/>
      <c r="AAR12" s="215"/>
      <c r="AAS12" s="215"/>
      <c r="AAT12" s="215"/>
      <c r="AAU12" s="215"/>
      <c r="AAV12" s="215"/>
      <c r="AAW12" s="215"/>
      <c r="AAX12" s="215" t="s">
        <v>79</v>
      </c>
      <c r="AAY12" s="215"/>
      <c r="AAZ12" s="215"/>
      <c r="ABA12" s="215"/>
      <c r="ABB12" s="215"/>
      <c r="ABC12" s="215"/>
      <c r="ABD12" s="215"/>
      <c r="ABE12" s="215"/>
      <c r="ABF12" s="215"/>
      <c r="ABG12" s="215"/>
      <c r="ABH12" s="215"/>
      <c r="ABI12" s="215"/>
      <c r="ABJ12" s="215"/>
      <c r="ABK12" s="215"/>
      <c r="ABL12" s="215"/>
      <c r="ABM12" s="215"/>
      <c r="ABN12" s="215"/>
      <c r="ABO12" s="215"/>
      <c r="ABP12" s="215"/>
      <c r="ABQ12" s="215"/>
      <c r="ABR12" s="215"/>
      <c r="ABS12" s="215"/>
      <c r="ABT12" s="215"/>
      <c r="ABU12" s="215"/>
      <c r="ABV12" s="215"/>
      <c r="ABW12" s="215"/>
      <c r="ABX12" s="215"/>
      <c r="ABY12" s="215"/>
      <c r="ABZ12" s="215"/>
      <c r="ACA12" s="215"/>
      <c r="ACB12" s="215"/>
      <c r="ACC12" s="215"/>
      <c r="ACD12" s="215"/>
      <c r="ACE12" s="215"/>
      <c r="ACF12" s="215"/>
      <c r="ACG12" s="215"/>
      <c r="ACH12" s="215"/>
      <c r="ACI12" s="215"/>
      <c r="ACJ12" s="215"/>
      <c r="ACK12" s="215"/>
      <c r="ACL12" s="215"/>
      <c r="ACM12" s="215"/>
      <c r="ACN12" s="215"/>
      <c r="ACO12" s="215"/>
      <c r="ACP12" s="215"/>
      <c r="ACQ12" s="215"/>
      <c r="ACR12" s="215"/>
      <c r="ACS12" s="215"/>
      <c r="ACT12" s="215"/>
      <c r="ACU12" s="215"/>
      <c r="ACV12" s="215"/>
      <c r="ACW12" s="215"/>
      <c r="ACX12" s="215"/>
      <c r="ACY12" s="215"/>
      <c r="ACZ12" s="215"/>
      <c r="ADA12" s="215"/>
      <c r="ADB12" s="215"/>
      <c r="ADC12" s="215"/>
      <c r="ADD12" s="215"/>
      <c r="ADE12" s="215"/>
      <c r="ADF12" s="215" t="s">
        <v>79</v>
      </c>
      <c r="ADG12" s="215"/>
      <c r="ADH12" s="215"/>
      <c r="ADI12" s="215"/>
      <c r="ADJ12" s="215"/>
      <c r="ADK12" s="215"/>
      <c r="ADL12" s="215"/>
      <c r="ADM12" s="215"/>
      <c r="ADN12" s="215"/>
      <c r="ADO12" s="215"/>
      <c r="ADP12" s="215"/>
      <c r="ADQ12" s="215"/>
      <c r="ADR12" s="215"/>
      <c r="ADS12" s="215"/>
      <c r="ADT12" s="215"/>
      <c r="ADU12" s="215"/>
      <c r="ADV12" s="215"/>
      <c r="ADW12" s="215"/>
      <c r="ADX12" s="215"/>
      <c r="ADY12" s="215"/>
      <c r="ADZ12" s="215"/>
      <c r="AEA12" s="215"/>
      <c r="AEB12" s="215"/>
      <c r="AEC12" s="215"/>
      <c r="AED12" s="215"/>
      <c r="AEE12" s="215"/>
      <c r="AEF12" s="215"/>
      <c r="AEG12" s="215"/>
      <c r="AEH12" s="215"/>
      <c r="AEI12" s="215"/>
      <c r="AEJ12" s="215"/>
      <c r="AEK12" s="215"/>
      <c r="AEL12" s="215"/>
      <c r="AEM12" s="215"/>
      <c r="AEN12" s="215"/>
      <c r="AEO12" s="215"/>
      <c r="AEP12" s="215"/>
      <c r="AEQ12" s="215"/>
      <c r="AER12" s="215"/>
      <c r="AES12" s="215"/>
      <c r="AET12" s="215"/>
      <c r="AEU12" s="215"/>
      <c r="AEV12" s="215"/>
      <c r="AEW12" s="215"/>
      <c r="AEX12" s="215"/>
      <c r="AEY12" s="215"/>
      <c r="AEZ12" s="215"/>
      <c r="AFA12" s="215"/>
      <c r="AFB12" s="215"/>
      <c r="AFC12" s="215"/>
      <c r="AFD12" s="215"/>
      <c r="AFE12" s="215"/>
      <c r="AFF12" s="215"/>
      <c r="AFG12" s="215"/>
      <c r="AFH12" s="215"/>
      <c r="AFI12" s="215"/>
      <c r="AFJ12" s="215"/>
      <c r="AFK12" s="215"/>
      <c r="AFL12" s="215"/>
      <c r="AFM12" s="215"/>
      <c r="AFN12" s="215" t="s">
        <v>78</v>
      </c>
      <c r="AFO12" s="215"/>
      <c r="AFP12" s="215"/>
      <c r="AFQ12" s="215"/>
      <c r="AFR12" s="215"/>
      <c r="AFS12" s="215"/>
      <c r="AFT12" s="215"/>
      <c r="AFU12" s="215"/>
      <c r="AFV12" s="215"/>
      <c r="AFW12" s="215"/>
      <c r="AFX12" s="215"/>
      <c r="AFY12" s="215"/>
      <c r="AFZ12" s="215"/>
      <c r="AGA12" s="215"/>
      <c r="AGB12" s="215"/>
      <c r="AGC12" s="215"/>
      <c r="AGD12" s="215"/>
      <c r="AGE12" s="215"/>
      <c r="AGF12" s="215"/>
      <c r="AGG12" s="215"/>
      <c r="AGH12" s="215"/>
      <c r="AGI12" s="215"/>
      <c r="AGJ12" s="215"/>
      <c r="AGK12" s="215"/>
      <c r="AGL12" s="215"/>
      <c r="AGM12" s="215"/>
      <c r="AGN12" s="215"/>
      <c r="AGO12" s="215"/>
      <c r="AGP12" s="215"/>
      <c r="AGQ12" s="215"/>
      <c r="AGR12" s="215"/>
      <c r="AGS12" s="215"/>
      <c r="AGT12" s="215"/>
      <c r="AGU12" s="215"/>
      <c r="AGV12" s="215"/>
      <c r="AGW12" s="215"/>
      <c r="AGX12" s="215"/>
      <c r="AGY12" s="215"/>
      <c r="AGZ12" s="215"/>
      <c r="AHA12" s="215"/>
      <c r="AHB12" s="215"/>
      <c r="AHC12" s="215"/>
      <c r="AHD12" s="215"/>
      <c r="AHE12" s="215"/>
      <c r="AHF12" s="215"/>
      <c r="AHG12" s="215"/>
      <c r="AHH12" s="215"/>
      <c r="AHI12" s="215"/>
      <c r="AHJ12" s="215"/>
      <c r="AHK12" s="215"/>
      <c r="AHL12" s="215"/>
      <c r="AHM12" s="215"/>
      <c r="AHN12" s="215"/>
      <c r="AHO12" s="215"/>
      <c r="AHP12" s="215"/>
      <c r="AHQ12" s="215"/>
      <c r="AHR12" s="215"/>
      <c r="AHS12" s="215"/>
      <c r="AHT12" s="215"/>
      <c r="AHU12" s="215"/>
      <c r="AHV12" s="215" t="s">
        <v>79</v>
      </c>
      <c r="AHW12" s="215"/>
      <c r="AHX12" s="215"/>
      <c r="AHY12" s="215"/>
      <c r="AHZ12" s="215"/>
      <c r="AIA12" s="215"/>
      <c r="AIB12" s="215"/>
      <c r="AIC12" s="215"/>
      <c r="AID12" s="215"/>
      <c r="AIE12" s="215"/>
      <c r="AIF12" s="215"/>
      <c r="AIG12" s="215"/>
      <c r="AIH12" s="215"/>
      <c r="AII12" s="215"/>
      <c r="AIJ12" s="215"/>
      <c r="AIK12" s="215"/>
      <c r="AIL12" s="215"/>
      <c r="AIM12" s="215"/>
      <c r="AIN12" s="215"/>
      <c r="AIO12" s="215"/>
      <c r="AIP12" s="215"/>
      <c r="AIQ12" s="215"/>
      <c r="AIR12" s="215"/>
      <c r="AIS12" s="215"/>
      <c r="AIT12" s="215"/>
      <c r="AIU12" s="215"/>
      <c r="AIV12" s="215"/>
      <c r="AIW12" s="215"/>
      <c r="AIX12" s="215"/>
      <c r="AIY12" s="215"/>
      <c r="AIZ12" s="215"/>
      <c r="AJA12" s="215"/>
      <c r="AJB12" s="215"/>
      <c r="AJC12" s="215"/>
      <c r="AJD12" s="215"/>
      <c r="AJE12" s="215"/>
      <c r="AJF12" s="215"/>
      <c r="AJG12" s="215"/>
      <c r="AJH12" s="215"/>
      <c r="AJI12" s="215"/>
      <c r="AJJ12" s="215"/>
      <c r="AJK12" s="215"/>
      <c r="AJL12" s="215"/>
      <c r="AJM12" s="215"/>
      <c r="AJN12" s="215"/>
      <c r="AJO12" s="215"/>
      <c r="AJP12" s="215"/>
      <c r="AJQ12" s="215"/>
      <c r="AJR12" s="215"/>
      <c r="AJS12" s="215"/>
      <c r="AJT12" s="215"/>
      <c r="AJU12" s="215"/>
      <c r="AJV12" s="215"/>
      <c r="AJW12" s="215"/>
      <c r="AJX12" s="215"/>
      <c r="AJY12" s="215"/>
      <c r="AJZ12" s="215"/>
      <c r="AKA12" s="215"/>
      <c r="AKB12" s="215"/>
      <c r="AKC12" s="215"/>
      <c r="AKD12" s="215" t="s">
        <v>78</v>
      </c>
      <c r="AKE12" s="215"/>
      <c r="AKF12" s="215"/>
      <c r="AKG12" s="215"/>
      <c r="AKH12" s="215"/>
      <c r="AKI12" s="215"/>
      <c r="AKJ12" s="215"/>
      <c r="AKK12" s="215"/>
      <c r="AKL12" s="215"/>
      <c r="AKM12" s="215"/>
      <c r="AKN12" s="215"/>
      <c r="AKO12" s="215"/>
      <c r="AKP12" s="215"/>
      <c r="AKQ12" s="215"/>
      <c r="AKR12" s="215"/>
      <c r="AKS12" s="215"/>
      <c r="AKT12" s="215"/>
      <c r="AKU12" s="215"/>
      <c r="AKV12" s="215"/>
      <c r="AKW12" s="215"/>
      <c r="AKX12" s="215"/>
      <c r="AKY12" s="215"/>
      <c r="AKZ12" s="215"/>
      <c r="ALA12" s="215"/>
      <c r="ALB12" s="215"/>
      <c r="ALC12" s="215"/>
      <c r="ALD12" s="215"/>
      <c r="ALE12" s="215"/>
      <c r="ALF12" s="215"/>
      <c r="ALG12" s="215"/>
      <c r="ALH12" s="215"/>
      <c r="ALI12" s="215"/>
      <c r="ALJ12" s="215"/>
      <c r="ALK12" s="215"/>
      <c r="ALL12" s="215"/>
      <c r="ALM12" s="215"/>
      <c r="ALN12" s="215"/>
      <c r="ALO12" s="215"/>
      <c r="ALP12" s="215"/>
      <c r="ALQ12" s="215"/>
      <c r="ALR12" s="215"/>
      <c r="ALS12" s="215"/>
      <c r="ALT12" s="215"/>
      <c r="ALU12" s="215"/>
      <c r="ALV12" s="215"/>
      <c r="ALW12" s="215"/>
      <c r="ALX12" s="215"/>
      <c r="ALY12" s="215"/>
      <c r="ALZ12" s="215"/>
      <c r="AMA12" s="215"/>
      <c r="AMB12" s="215"/>
      <c r="AMC12" s="215"/>
      <c r="AMD12" s="215"/>
      <c r="AME12" s="215"/>
      <c r="AMF12" s="215"/>
      <c r="AMG12" s="215"/>
      <c r="AMH12" s="215"/>
      <c r="AMI12" s="215"/>
      <c r="AMJ12" s="215"/>
      <c r="AMK12" s="215"/>
      <c r="AML12" s="215" t="s">
        <v>79</v>
      </c>
      <c r="AMM12" s="215"/>
      <c r="AMN12" s="215"/>
      <c r="AMO12" s="215"/>
      <c r="AMP12" s="215"/>
      <c r="AMQ12" s="215"/>
      <c r="AMR12" s="215"/>
      <c r="AMS12" s="215"/>
      <c r="AMT12" s="215"/>
      <c r="AMU12" s="215"/>
      <c r="AMV12" s="215"/>
      <c r="AMW12" s="215"/>
      <c r="AMX12" s="215"/>
      <c r="AMY12" s="215"/>
      <c r="AMZ12" s="215"/>
      <c r="ANA12" s="215"/>
      <c r="ANB12" s="215"/>
      <c r="ANC12" s="215"/>
      <c r="AND12" s="215"/>
      <c r="ANE12" s="215"/>
      <c r="ANF12" s="215"/>
      <c r="ANG12" s="215"/>
      <c r="ANH12" s="215"/>
      <c r="ANI12" s="215"/>
      <c r="ANJ12" s="215"/>
      <c r="ANK12" s="215"/>
      <c r="ANL12" s="215"/>
      <c r="ANM12" s="215"/>
      <c r="ANN12" s="215"/>
      <c r="ANO12" s="215"/>
      <c r="ANP12" s="215"/>
      <c r="ANQ12" s="215"/>
      <c r="ANR12" s="215"/>
      <c r="ANS12" s="215"/>
      <c r="ANT12" s="215"/>
      <c r="ANU12" s="215"/>
      <c r="ANV12" s="215"/>
      <c r="ANW12" s="215"/>
      <c r="ANX12" s="215"/>
      <c r="ANY12" s="215"/>
      <c r="ANZ12" s="215"/>
      <c r="AOA12" s="215"/>
      <c r="AOB12" s="215"/>
      <c r="AOC12" s="215"/>
      <c r="AOD12" s="215"/>
      <c r="AOE12" s="215"/>
      <c r="AOF12" s="215"/>
      <c r="AOG12" s="215"/>
      <c r="AOH12" s="215"/>
      <c r="AOI12" s="215"/>
      <c r="AOJ12" s="215"/>
      <c r="AOK12" s="215"/>
      <c r="AOL12" s="215"/>
      <c r="AOM12" s="215"/>
      <c r="AON12" s="215"/>
      <c r="AOO12" s="215"/>
      <c r="AOP12" s="215"/>
      <c r="AOQ12" s="215"/>
      <c r="AOR12" s="215"/>
      <c r="AOS12" s="215"/>
      <c r="AOT12" s="215" t="s">
        <v>78</v>
      </c>
      <c r="AOU12" s="215"/>
      <c r="AOV12" s="215"/>
      <c r="AOW12" s="215"/>
      <c r="AOX12" s="215"/>
      <c r="AOY12" s="215"/>
      <c r="AOZ12" s="215"/>
      <c r="APA12" s="215"/>
      <c r="APB12" s="215"/>
      <c r="APC12" s="215"/>
      <c r="APD12" s="215"/>
      <c r="APE12" s="215"/>
      <c r="APF12" s="215"/>
      <c r="APG12" s="215"/>
      <c r="APH12" s="215"/>
      <c r="API12" s="215"/>
      <c r="APJ12" s="215"/>
      <c r="APK12" s="215"/>
      <c r="APL12" s="215"/>
      <c r="APM12" s="215"/>
      <c r="APN12" s="215"/>
      <c r="APO12" s="215"/>
      <c r="APP12" s="215"/>
      <c r="APQ12" s="215"/>
      <c r="APR12" s="215"/>
      <c r="APS12" s="215"/>
      <c r="APT12" s="215"/>
      <c r="APU12" s="215"/>
      <c r="APV12" s="215"/>
      <c r="APW12" s="215"/>
      <c r="APX12" s="215"/>
      <c r="APY12" s="215"/>
      <c r="APZ12" s="215"/>
      <c r="AQA12" s="215"/>
      <c r="AQB12" s="215"/>
      <c r="AQC12" s="215"/>
      <c r="AQD12" s="215"/>
      <c r="AQE12" s="215"/>
      <c r="AQF12" s="215"/>
      <c r="AQG12" s="215"/>
      <c r="AQH12" s="215"/>
      <c r="AQI12" s="215"/>
      <c r="AQJ12" s="215"/>
      <c r="AQK12" s="215"/>
      <c r="AQL12" s="215"/>
      <c r="AQM12" s="215"/>
      <c r="AQN12" s="215"/>
      <c r="AQO12" s="215"/>
      <c r="AQP12" s="215"/>
      <c r="AQQ12" s="215"/>
      <c r="AQR12" s="215"/>
      <c r="AQS12" s="215"/>
      <c r="AQT12" s="215"/>
      <c r="AQU12" s="215"/>
      <c r="AQV12" s="215"/>
      <c r="AQW12" s="215"/>
      <c r="AQX12" s="215"/>
      <c r="AQY12" s="215"/>
      <c r="AQZ12" s="215"/>
      <c r="ARA12" s="215"/>
      <c r="ARB12" s="215" t="s">
        <v>79</v>
      </c>
      <c r="ARC12" s="215"/>
      <c r="ARD12" s="215"/>
      <c r="ARE12" s="215"/>
      <c r="ARF12" s="215"/>
      <c r="ARG12" s="215"/>
      <c r="ARH12" s="215"/>
      <c r="ARI12" s="215"/>
      <c r="ARJ12" s="215"/>
      <c r="ARK12" s="215"/>
      <c r="ARL12" s="215"/>
      <c r="ARM12" s="215"/>
      <c r="ARN12" s="215"/>
      <c r="ARO12" s="215"/>
      <c r="ARP12" s="215"/>
      <c r="ARQ12" s="215"/>
      <c r="ARR12" s="215"/>
      <c r="ARS12" s="215"/>
      <c r="ART12" s="215"/>
      <c r="ARU12" s="215"/>
      <c r="ARV12" s="215"/>
      <c r="ARW12" s="215"/>
      <c r="ARX12" s="215"/>
      <c r="ARY12" s="215"/>
      <c r="ARZ12" s="215"/>
      <c r="ASA12" s="215"/>
      <c r="ASB12" s="215"/>
      <c r="ASC12" s="215"/>
      <c r="ASD12" s="215"/>
      <c r="ASE12" s="215"/>
      <c r="ASF12" s="215"/>
      <c r="ASG12" s="215"/>
      <c r="ASH12" s="215"/>
      <c r="ASI12" s="215"/>
      <c r="ASJ12" s="215"/>
      <c r="ASK12" s="215"/>
      <c r="ASL12" s="215"/>
      <c r="ASM12" s="215"/>
      <c r="ASN12" s="215"/>
      <c r="ASO12" s="215"/>
      <c r="ASP12" s="215"/>
      <c r="ASQ12" s="215"/>
      <c r="ASR12" s="215"/>
      <c r="ASS12" s="215"/>
      <c r="AST12" s="215"/>
      <c r="ASU12" s="215"/>
      <c r="ASV12" s="215"/>
      <c r="ASW12" s="215"/>
      <c r="ASX12" s="215"/>
      <c r="ASY12" s="215"/>
      <c r="ASZ12" s="215"/>
      <c r="ATA12" s="215"/>
      <c r="ATB12" s="215"/>
      <c r="ATC12" s="215"/>
      <c r="ATD12" s="215"/>
      <c r="ATE12" s="215"/>
      <c r="ATF12" s="215"/>
      <c r="ATG12" s="215"/>
      <c r="ATH12" s="215"/>
      <c r="ATI12" s="215"/>
      <c r="ATJ12" s="215" t="s">
        <v>79</v>
      </c>
      <c r="ATK12" s="215"/>
      <c r="ATL12" s="215"/>
      <c r="ATM12" s="215"/>
      <c r="ATN12" s="215"/>
      <c r="ATO12" s="215"/>
      <c r="ATP12" s="215"/>
      <c r="ATQ12" s="215"/>
      <c r="ATR12" s="215"/>
      <c r="ATS12" s="215"/>
      <c r="ATT12" s="215"/>
      <c r="ATU12" s="215"/>
      <c r="ATV12" s="215"/>
      <c r="ATW12" s="215"/>
      <c r="ATX12" s="215"/>
      <c r="ATY12" s="215"/>
      <c r="ATZ12" s="215"/>
      <c r="AUA12" s="215"/>
      <c r="AUB12" s="215"/>
      <c r="AUC12" s="215"/>
      <c r="AUD12" s="215"/>
      <c r="AUE12" s="215"/>
      <c r="AUF12" s="215"/>
      <c r="AUG12" s="215"/>
      <c r="AUH12" s="215"/>
      <c r="AUI12" s="215"/>
      <c r="AUJ12" s="215"/>
      <c r="AUK12" s="215"/>
      <c r="AUL12" s="215"/>
      <c r="AUM12" s="215"/>
      <c r="AUN12" s="215"/>
      <c r="AUO12" s="215"/>
      <c r="AUP12" s="215"/>
      <c r="AUQ12" s="215"/>
      <c r="AUR12" s="215"/>
      <c r="AUS12" s="215"/>
      <c r="AUT12" s="215"/>
      <c r="AUU12" s="215"/>
      <c r="AUV12" s="215"/>
      <c r="AUW12" s="215"/>
      <c r="AUX12" s="215"/>
      <c r="AUY12" s="215"/>
      <c r="AUZ12" s="215"/>
      <c r="AVA12" s="215"/>
      <c r="AVB12" s="215"/>
      <c r="AVC12" s="215"/>
      <c r="AVD12" s="215"/>
      <c r="AVE12" s="215"/>
      <c r="AVF12" s="215"/>
      <c r="AVG12" s="215"/>
      <c r="AVH12" s="215"/>
      <c r="AVI12" s="215"/>
      <c r="AVJ12" s="215"/>
      <c r="AVK12" s="215"/>
      <c r="AVL12" s="215"/>
      <c r="AVM12" s="215"/>
      <c r="AVN12" s="215"/>
      <c r="AVO12" s="215"/>
      <c r="AVP12" s="215"/>
      <c r="AVQ12" s="215"/>
      <c r="AVR12" s="215" t="s">
        <v>78</v>
      </c>
      <c r="AVS12" s="215"/>
      <c r="AVT12" s="215"/>
      <c r="AVU12" s="215"/>
      <c r="AVV12" s="215"/>
      <c r="AVW12" s="215"/>
      <c r="AVX12" s="215"/>
      <c r="AVY12" s="215"/>
      <c r="AVZ12" s="215"/>
      <c r="AWA12" s="215"/>
      <c r="AWB12" s="215"/>
      <c r="AWC12" s="215"/>
      <c r="AWD12" s="215"/>
      <c r="AWE12" s="215"/>
      <c r="AWF12" s="215"/>
      <c r="AWG12" s="215"/>
      <c r="AWH12" s="215"/>
      <c r="AWI12" s="215"/>
      <c r="AWJ12" s="215"/>
      <c r="AWK12" s="215"/>
      <c r="AWL12" s="215"/>
      <c r="AWM12" s="215"/>
      <c r="AWN12" s="215"/>
      <c r="AWO12" s="215"/>
      <c r="AWP12" s="215"/>
      <c r="AWQ12" s="215"/>
      <c r="AWR12" s="215"/>
      <c r="AWS12" s="215"/>
      <c r="AWT12" s="215"/>
      <c r="AWU12" s="215"/>
      <c r="AWV12" s="215"/>
      <c r="AWW12" s="215"/>
      <c r="AWX12" s="215"/>
      <c r="AWY12" s="215"/>
      <c r="AWZ12" s="215"/>
      <c r="AXA12" s="215"/>
      <c r="AXB12" s="215"/>
      <c r="AXC12" s="215"/>
      <c r="AXD12" s="215"/>
      <c r="AXE12" s="215"/>
      <c r="AXF12" s="215"/>
      <c r="AXG12" s="215"/>
      <c r="AXH12" s="215"/>
      <c r="AXI12" s="215"/>
      <c r="AXJ12" s="215"/>
      <c r="AXK12" s="215"/>
      <c r="AXL12" s="215"/>
      <c r="AXM12" s="215"/>
      <c r="AXN12" s="215"/>
      <c r="AXO12" s="215"/>
      <c r="AXP12" s="215"/>
      <c r="AXQ12" s="215"/>
      <c r="AXR12" s="215"/>
      <c r="AXS12" s="215"/>
      <c r="AXT12" s="215"/>
      <c r="AXU12" s="215"/>
      <c r="AXV12" s="215"/>
      <c r="AXW12" s="215"/>
      <c r="AXX12" s="215"/>
      <c r="AXY12" s="215"/>
      <c r="AXZ12" s="215" t="s">
        <v>79</v>
      </c>
      <c r="AYA12" s="215"/>
      <c r="AYB12" s="215"/>
      <c r="AYC12" s="215"/>
      <c r="AYD12" s="215"/>
      <c r="AYE12" s="215"/>
      <c r="AYF12" s="215"/>
      <c r="AYG12" s="215"/>
      <c r="AYH12" s="215"/>
      <c r="AYI12" s="215"/>
      <c r="AYJ12" s="215"/>
      <c r="AYK12" s="215"/>
      <c r="AYL12" s="215"/>
      <c r="AYM12" s="215"/>
      <c r="AYN12" s="215"/>
      <c r="AYO12" s="215"/>
      <c r="AYP12" s="215"/>
      <c r="AYQ12" s="215"/>
      <c r="AYR12" s="215"/>
      <c r="AYS12" s="215"/>
      <c r="AYT12" s="215"/>
      <c r="AYU12" s="215"/>
      <c r="AYV12" s="215"/>
      <c r="AYW12" s="215"/>
      <c r="AYX12" s="215"/>
      <c r="AYY12" s="215"/>
      <c r="AYZ12" s="215"/>
      <c r="AZA12" s="215"/>
      <c r="AZB12" s="215"/>
      <c r="AZC12" s="215"/>
      <c r="AZD12" s="215"/>
      <c r="AZE12" s="215"/>
      <c r="AZF12" s="215"/>
      <c r="AZG12" s="215"/>
      <c r="AZH12" s="215"/>
      <c r="AZI12" s="215"/>
      <c r="AZJ12" s="215"/>
      <c r="AZK12" s="215"/>
      <c r="AZL12" s="215"/>
      <c r="AZM12" s="215"/>
      <c r="AZN12" s="215"/>
      <c r="AZO12" s="215"/>
      <c r="AZP12" s="215"/>
      <c r="AZQ12" s="215"/>
      <c r="AZR12" s="215"/>
      <c r="AZS12" s="215"/>
      <c r="AZT12" s="215"/>
      <c r="AZU12" s="215"/>
      <c r="AZV12" s="215"/>
      <c r="AZW12" s="215"/>
      <c r="AZX12" s="215"/>
      <c r="AZY12" s="215"/>
      <c r="AZZ12" s="215"/>
      <c r="BAA12" s="215"/>
      <c r="BAB12" s="215"/>
      <c r="BAC12" s="215"/>
      <c r="BAD12" s="215"/>
      <c r="BAE12" s="215"/>
      <c r="BAF12" s="215"/>
      <c r="BAG12" s="215"/>
      <c r="BAH12" s="215" t="s">
        <v>78</v>
      </c>
      <c r="BAI12" s="215"/>
      <c r="BAJ12" s="215"/>
      <c r="BAK12" s="215"/>
      <c r="BAL12" s="215"/>
      <c r="BAM12" s="215"/>
      <c r="BAN12" s="215"/>
      <c r="BAO12" s="215"/>
      <c r="BAP12" s="215"/>
      <c r="BAQ12" s="215"/>
      <c r="BAR12" s="215"/>
      <c r="BAS12" s="215"/>
      <c r="BAT12" s="215"/>
      <c r="BAU12" s="215"/>
      <c r="BAV12" s="215"/>
      <c r="BAW12" s="215"/>
      <c r="BAX12" s="215"/>
      <c r="BAY12" s="215"/>
      <c r="BAZ12" s="215"/>
      <c r="BBA12" s="215"/>
      <c r="BBB12" s="215"/>
      <c r="BBC12" s="215"/>
      <c r="BBD12" s="215"/>
      <c r="BBE12" s="215"/>
      <c r="BBF12" s="215"/>
      <c r="BBG12" s="215"/>
      <c r="BBH12" s="215"/>
      <c r="BBI12" s="215"/>
      <c r="BBJ12" s="215"/>
      <c r="BBK12" s="215"/>
      <c r="BBL12" s="215"/>
      <c r="BBM12" s="215"/>
      <c r="BBN12" s="215"/>
      <c r="BBO12" s="215"/>
      <c r="BBP12" s="215"/>
      <c r="BBQ12" s="215"/>
      <c r="BBR12" s="215"/>
      <c r="BBS12" s="215"/>
      <c r="BBT12" s="215"/>
      <c r="BBU12" s="215"/>
      <c r="BBV12" s="215"/>
      <c r="BBW12" s="215"/>
      <c r="BBX12" s="215"/>
      <c r="BBY12" s="215"/>
      <c r="BBZ12" s="215"/>
      <c r="BCA12" s="215"/>
      <c r="BCB12" s="215"/>
      <c r="BCC12" s="215"/>
      <c r="BCD12" s="215"/>
      <c r="BCE12" s="215"/>
      <c r="BCF12" s="215"/>
      <c r="BCG12" s="215"/>
      <c r="BCH12" s="215"/>
      <c r="BCI12" s="215"/>
      <c r="BCJ12" s="215"/>
      <c r="BCK12" s="215"/>
      <c r="BCL12" s="215"/>
      <c r="BCM12" s="215"/>
      <c r="BCN12" s="215"/>
      <c r="BCO12" s="215"/>
      <c r="BCP12" s="215" t="s">
        <v>78</v>
      </c>
      <c r="BCQ12" s="215"/>
      <c r="BCR12" s="215"/>
      <c r="BCS12" s="215"/>
      <c r="BCT12" s="215"/>
      <c r="BCU12" s="215"/>
      <c r="BCV12" s="215"/>
      <c r="BCW12" s="215"/>
      <c r="BCX12" s="215"/>
      <c r="BCY12" s="215"/>
      <c r="BCZ12" s="215"/>
      <c r="BDA12" s="215"/>
      <c r="BDB12" s="215"/>
      <c r="BDC12" s="215"/>
      <c r="BDD12" s="215"/>
      <c r="BDE12" s="215"/>
      <c r="BDF12" s="215"/>
      <c r="BDG12" s="215"/>
      <c r="BDH12" s="215"/>
      <c r="BDI12" s="215"/>
      <c r="BDJ12" s="215"/>
      <c r="BDK12" s="215"/>
      <c r="BDL12" s="215"/>
      <c r="BDM12" s="215"/>
      <c r="BDN12" s="215"/>
      <c r="BDO12" s="215"/>
      <c r="BDP12" s="215"/>
      <c r="BDQ12" s="215"/>
      <c r="BDR12" s="215"/>
      <c r="BDS12" s="215"/>
      <c r="BDT12" s="215"/>
      <c r="BDU12" s="215"/>
      <c r="BDV12" s="215"/>
      <c r="BDW12" s="215"/>
      <c r="BDX12" s="215"/>
      <c r="BDY12" s="215"/>
      <c r="BDZ12" s="215"/>
      <c r="BEA12" s="215"/>
      <c r="BEB12" s="215"/>
      <c r="BEC12" s="215"/>
      <c r="BED12" s="215"/>
      <c r="BEE12" s="215"/>
      <c r="BEF12" s="215"/>
      <c r="BEG12" s="215"/>
      <c r="BEH12" s="215"/>
      <c r="BEI12" s="215"/>
      <c r="BEJ12" s="215"/>
      <c r="BEK12" s="215"/>
      <c r="BEL12" s="215"/>
      <c r="BEM12" s="215"/>
      <c r="BEN12" s="215"/>
      <c r="BEO12" s="215"/>
      <c r="BEP12" s="215"/>
      <c r="BEQ12" s="215"/>
      <c r="BER12" s="215"/>
      <c r="BES12" s="215"/>
      <c r="BET12" s="215"/>
      <c r="BEU12" s="215"/>
      <c r="BEV12" s="215"/>
      <c r="BEW12" s="215"/>
      <c r="BEX12" s="215" t="s">
        <v>79</v>
      </c>
      <c r="BEY12" s="215"/>
      <c r="BEZ12" s="215"/>
      <c r="BFA12" s="215"/>
      <c r="BFB12" s="215"/>
      <c r="BFC12" s="215"/>
      <c r="BFD12" s="215"/>
      <c r="BFE12" s="215"/>
      <c r="BFF12" s="215"/>
      <c r="BFG12" s="215"/>
      <c r="BFH12" s="215"/>
      <c r="BFI12" s="215"/>
      <c r="BFJ12" s="215"/>
      <c r="BFK12" s="215"/>
      <c r="BFL12" s="215"/>
      <c r="BFM12" s="215"/>
      <c r="BFN12" s="215"/>
      <c r="BFO12" s="215"/>
      <c r="BFP12" s="215"/>
      <c r="BFQ12" s="215"/>
      <c r="BFR12" s="215"/>
      <c r="BFS12" s="215"/>
      <c r="BFT12" s="215"/>
      <c r="BFU12" s="215"/>
      <c r="BFV12" s="215"/>
      <c r="BFW12" s="215"/>
      <c r="BFX12" s="215"/>
      <c r="BFY12" s="215"/>
      <c r="BFZ12" s="215"/>
      <c r="BGA12" s="215"/>
      <c r="BGB12" s="215"/>
      <c r="BGC12" s="215"/>
      <c r="BGD12" s="215"/>
      <c r="BGE12" s="215"/>
      <c r="BGF12" s="215"/>
      <c r="BGG12" s="215"/>
      <c r="BGH12" s="215"/>
      <c r="BGI12" s="215"/>
      <c r="BGJ12" s="215"/>
      <c r="BGK12" s="215"/>
      <c r="BGL12" s="215"/>
      <c r="BGM12" s="215"/>
      <c r="BGN12" s="215"/>
      <c r="BGO12" s="215"/>
      <c r="BGP12" s="215"/>
      <c r="BGQ12" s="215"/>
      <c r="BGR12" s="215"/>
      <c r="BGS12" s="215"/>
      <c r="BGT12" s="215"/>
      <c r="BGU12" s="215"/>
      <c r="BGV12" s="215"/>
      <c r="BGW12" s="215"/>
      <c r="BGX12" s="215"/>
      <c r="BGY12" s="215"/>
      <c r="BGZ12" s="215"/>
      <c r="BHA12" s="215"/>
      <c r="BHB12" s="215"/>
      <c r="BHC12" s="215"/>
      <c r="BHD12" s="215"/>
      <c r="BHE12" s="215"/>
      <c r="BHF12" s="215" t="s">
        <v>78</v>
      </c>
      <c r="BHG12" s="215"/>
      <c r="BHH12" s="215"/>
      <c r="BHI12" s="215"/>
      <c r="BHJ12" s="215"/>
      <c r="BHK12" s="215"/>
      <c r="BHL12" s="215"/>
      <c r="BHM12" s="215"/>
      <c r="BHN12" s="215"/>
      <c r="BHO12" s="215"/>
      <c r="BHP12" s="215"/>
      <c r="BHQ12" s="215"/>
      <c r="BHR12" s="215"/>
      <c r="BHS12" s="215"/>
      <c r="BHT12" s="215"/>
      <c r="BHU12" s="215"/>
      <c r="BHV12" s="215"/>
      <c r="BHW12" s="215"/>
      <c r="BHX12" s="215"/>
      <c r="BHY12" s="215"/>
      <c r="BHZ12" s="215"/>
      <c r="BIA12" s="215"/>
      <c r="BIB12" s="215"/>
      <c r="BIC12" s="215"/>
      <c r="BID12" s="215"/>
      <c r="BIE12" s="215"/>
      <c r="BIF12" s="215"/>
      <c r="BIG12" s="215"/>
      <c r="BIH12" s="215"/>
      <c r="BII12" s="215"/>
      <c r="BIJ12" s="215"/>
      <c r="BIK12" s="215"/>
      <c r="BIL12" s="215"/>
      <c r="BIM12" s="215"/>
      <c r="BIN12" s="215"/>
      <c r="BIO12" s="215"/>
      <c r="BIP12" s="215"/>
      <c r="BIQ12" s="215"/>
      <c r="BIR12" s="215"/>
      <c r="BIS12" s="215"/>
      <c r="BIT12" s="215"/>
      <c r="BIU12" s="215"/>
      <c r="BIV12" s="215"/>
      <c r="BIW12" s="215"/>
      <c r="BIX12" s="215"/>
      <c r="BIY12" s="215"/>
      <c r="BIZ12" s="215"/>
      <c r="BJA12" s="215"/>
      <c r="BJB12" s="215"/>
      <c r="BJC12" s="215"/>
      <c r="BJD12" s="215"/>
      <c r="BJE12" s="215"/>
      <c r="BJF12" s="215"/>
      <c r="BJG12" s="215"/>
      <c r="BJH12" s="215"/>
      <c r="BJI12" s="215"/>
      <c r="BJJ12" s="215"/>
      <c r="BJK12" s="215"/>
      <c r="BJL12" s="215"/>
      <c r="BJM12" s="215"/>
    </row>
    <row r="13" spans="1:1625" ht="42.75" customHeight="1" thickBot="1" x14ac:dyDescent="0.3">
      <c r="B13" s="51"/>
      <c r="C13" s="231" t="s">
        <v>13</v>
      </c>
      <c r="D13" s="117"/>
      <c r="E13" s="229" t="s">
        <v>14</v>
      </c>
      <c r="F13" s="216" t="s">
        <v>15</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16</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17</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18</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19</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20</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21</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22</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23</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24</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25</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26</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27</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28</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29</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30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31</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32</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33</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34</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35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36</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37</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38</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39</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40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106</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row>
    <row r="14" spans="1:1625" ht="12.75" customHeight="1" thickBot="1" x14ac:dyDescent="0.35">
      <c r="B14" s="51"/>
      <c r="C14" s="232"/>
      <c r="D14" s="118"/>
      <c r="E14" s="230"/>
      <c r="F14" s="81"/>
      <c r="G14" s="82"/>
      <c r="H14" s="82"/>
      <c r="I14" s="82"/>
      <c r="J14" s="219" t="s">
        <v>41</v>
      </c>
      <c r="K14" s="219"/>
      <c r="L14" s="219"/>
      <c r="M14" s="219"/>
      <c r="N14" s="82"/>
      <c r="O14" s="82"/>
      <c r="P14" s="220" t="s">
        <v>42</v>
      </c>
      <c r="Q14" s="220"/>
      <c r="R14" s="220"/>
      <c r="S14" s="220"/>
      <c r="T14" s="102"/>
      <c r="U14" s="102"/>
      <c r="V14" s="219" t="s">
        <v>43</v>
      </c>
      <c r="W14" s="219"/>
      <c r="X14" s="219"/>
      <c r="Y14" s="219"/>
      <c r="Z14" s="82"/>
      <c r="AA14" s="82"/>
      <c r="AB14" s="220" t="s">
        <v>44</v>
      </c>
      <c r="AC14" s="220"/>
      <c r="AD14" s="220"/>
      <c r="AE14" s="220"/>
      <c r="AF14" s="102"/>
      <c r="AG14" s="102"/>
      <c r="AH14" s="219" t="s">
        <v>45</v>
      </c>
      <c r="AI14" s="219"/>
      <c r="AJ14" s="219"/>
      <c r="AK14" s="219"/>
      <c r="AL14" s="82"/>
      <c r="AM14" s="82"/>
      <c r="AN14" s="220" t="s">
        <v>46</v>
      </c>
      <c r="AO14" s="220"/>
      <c r="AP14" s="220"/>
      <c r="AQ14" s="220"/>
      <c r="AR14" s="102"/>
      <c r="AS14" s="102"/>
      <c r="AT14" s="219" t="s">
        <v>47</v>
      </c>
      <c r="AU14" s="219"/>
      <c r="AV14" s="219"/>
      <c r="AW14" s="219"/>
      <c r="AX14" s="82"/>
      <c r="AY14" s="82"/>
      <c r="AZ14" s="220" t="s">
        <v>48</v>
      </c>
      <c r="BA14" s="220"/>
      <c r="BB14" s="220"/>
      <c r="BC14" s="220"/>
      <c r="BD14" s="102"/>
      <c r="BE14" s="102"/>
      <c r="BF14" s="219" t="s">
        <v>49</v>
      </c>
      <c r="BG14" s="219"/>
      <c r="BH14" s="219"/>
      <c r="BI14" s="219"/>
      <c r="BJ14" s="82"/>
      <c r="BK14" s="82"/>
      <c r="BL14" s="82"/>
      <c r="BM14" s="83"/>
      <c r="BN14" s="81"/>
      <c r="BO14" s="82"/>
      <c r="BP14" s="82"/>
      <c r="BQ14" s="82"/>
      <c r="BR14" s="219" t="s">
        <v>41</v>
      </c>
      <c r="BS14" s="219"/>
      <c r="BT14" s="219"/>
      <c r="BU14" s="219"/>
      <c r="BV14" s="82"/>
      <c r="BW14" s="82"/>
      <c r="BX14" s="220" t="s">
        <v>42</v>
      </c>
      <c r="BY14" s="220"/>
      <c r="BZ14" s="220"/>
      <c r="CA14" s="220"/>
      <c r="CB14" s="102"/>
      <c r="CC14" s="102"/>
      <c r="CD14" s="219" t="s">
        <v>43</v>
      </c>
      <c r="CE14" s="219"/>
      <c r="CF14" s="219"/>
      <c r="CG14" s="219"/>
      <c r="CH14" s="82"/>
      <c r="CI14" s="82"/>
      <c r="CJ14" s="220" t="s">
        <v>44</v>
      </c>
      <c r="CK14" s="220"/>
      <c r="CL14" s="220"/>
      <c r="CM14" s="220"/>
      <c r="CN14" s="102"/>
      <c r="CO14" s="102"/>
      <c r="CP14" s="219" t="s">
        <v>45</v>
      </c>
      <c r="CQ14" s="219"/>
      <c r="CR14" s="219"/>
      <c r="CS14" s="219"/>
      <c r="CT14" s="82"/>
      <c r="CU14" s="82"/>
      <c r="CV14" s="220" t="s">
        <v>46</v>
      </c>
      <c r="CW14" s="220"/>
      <c r="CX14" s="220"/>
      <c r="CY14" s="220"/>
      <c r="CZ14" s="102"/>
      <c r="DA14" s="102"/>
      <c r="DB14" s="219" t="s">
        <v>47</v>
      </c>
      <c r="DC14" s="219"/>
      <c r="DD14" s="219"/>
      <c r="DE14" s="219"/>
      <c r="DF14" s="82"/>
      <c r="DG14" s="82"/>
      <c r="DH14" s="220" t="s">
        <v>48</v>
      </c>
      <c r="DI14" s="220"/>
      <c r="DJ14" s="220"/>
      <c r="DK14" s="220"/>
      <c r="DL14" s="102"/>
      <c r="DM14" s="102"/>
      <c r="DN14" s="219" t="s">
        <v>49</v>
      </c>
      <c r="DO14" s="219"/>
      <c r="DP14" s="219"/>
      <c r="DQ14" s="219"/>
      <c r="DR14" s="82"/>
      <c r="DS14" s="82"/>
      <c r="DT14" s="82"/>
      <c r="DU14" s="83"/>
      <c r="DV14" s="81"/>
      <c r="DW14" s="82"/>
      <c r="DX14" s="82"/>
      <c r="DY14" s="82"/>
      <c r="DZ14" s="219" t="s">
        <v>41</v>
      </c>
      <c r="EA14" s="219"/>
      <c r="EB14" s="219"/>
      <c r="EC14" s="219"/>
      <c r="ED14" s="82"/>
      <c r="EE14" s="82"/>
      <c r="EF14" s="220" t="s">
        <v>42</v>
      </c>
      <c r="EG14" s="220"/>
      <c r="EH14" s="220"/>
      <c r="EI14" s="220"/>
      <c r="EJ14" s="102"/>
      <c r="EK14" s="102"/>
      <c r="EL14" s="219" t="s">
        <v>43</v>
      </c>
      <c r="EM14" s="219"/>
      <c r="EN14" s="219"/>
      <c r="EO14" s="219"/>
      <c r="EP14" s="82"/>
      <c r="EQ14" s="82"/>
      <c r="ER14" s="220" t="s">
        <v>44</v>
      </c>
      <c r="ES14" s="220"/>
      <c r="ET14" s="220"/>
      <c r="EU14" s="220"/>
      <c r="EV14" s="102"/>
      <c r="EW14" s="102"/>
      <c r="EX14" s="219" t="s">
        <v>45</v>
      </c>
      <c r="EY14" s="219"/>
      <c r="EZ14" s="219"/>
      <c r="FA14" s="219"/>
      <c r="FB14" s="82"/>
      <c r="FC14" s="82"/>
      <c r="FD14" s="220" t="s">
        <v>46</v>
      </c>
      <c r="FE14" s="220"/>
      <c r="FF14" s="220"/>
      <c r="FG14" s="220"/>
      <c r="FH14" s="102"/>
      <c r="FI14" s="102"/>
      <c r="FJ14" s="219" t="s">
        <v>47</v>
      </c>
      <c r="FK14" s="219"/>
      <c r="FL14" s="219"/>
      <c r="FM14" s="219"/>
      <c r="FN14" s="82"/>
      <c r="FO14" s="82"/>
      <c r="FP14" s="220" t="s">
        <v>48</v>
      </c>
      <c r="FQ14" s="220"/>
      <c r="FR14" s="220"/>
      <c r="FS14" s="220"/>
      <c r="FT14" s="102"/>
      <c r="FU14" s="102"/>
      <c r="FV14" s="219" t="s">
        <v>49</v>
      </c>
      <c r="FW14" s="219"/>
      <c r="FX14" s="219"/>
      <c r="FY14" s="219"/>
      <c r="FZ14" s="82"/>
      <c r="GA14" s="82"/>
      <c r="GB14" s="82"/>
      <c r="GC14" s="83"/>
      <c r="GD14" s="81"/>
      <c r="GE14" s="82"/>
      <c r="GF14" s="82"/>
      <c r="GG14" s="82"/>
      <c r="GH14" s="219" t="s">
        <v>41</v>
      </c>
      <c r="GI14" s="219"/>
      <c r="GJ14" s="219"/>
      <c r="GK14" s="219"/>
      <c r="GL14" s="82"/>
      <c r="GM14" s="82"/>
      <c r="GN14" s="220" t="s">
        <v>42</v>
      </c>
      <c r="GO14" s="220"/>
      <c r="GP14" s="220"/>
      <c r="GQ14" s="220"/>
      <c r="GR14" s="102"/>
      <c r="GS14" s="102"/>
      <c r="GT14" s="219" t="s">
        <v>43</v>
      </c>
      <c r="GU14" s="219"/>
      <c r="GV14" s="219"/>
      <c r="GW14" s="219"/>
      <c r="GX14" s="82"/>
      <c r="GY14" s="82"/>
      <c r="GZ14" s="220" t="s">
        <v>44</v>
      </c>
      <c r="HA14" s="220"/>
      <c r="HB14" s="220"/>
      <c r="HC14" s="220"/>
      <c r="HD14" s="102"/>
      <c r="HE14" s="102"/>
      <c r="HF14" s="219" t="s">
        <v>45</v>
      </c>
      <c r="HG14" s="219"/>
      <c r="HH14" s="219"/>
      <c r="HI14" s="219"/>
      <c r="HJ14" s="82"/>
      <c r="HK14" s="82"/>
      <c r="HL14" s="220" t="s">
        <v>46</v>
      </c>
      <c r="HM14" s="220"/>
      <c r="HN14" s="220"/>
      <c r="HO14" s="220"/>
      <c r="HP14" s="102"/>
      <c r="HQ14" s="102"/>
      <c r="HR14" s="219" t="s">
        <v>47</v>
      </c>
      <c r="HS14" s="219"/>
      <c r="HT14" s="219"/>
      <c r="HU14" s="219"/>
      <c r="HV14" s="82"/>
      <c r="HW14" s="82"/>
      <c r="HX14" s="220" t="s">
        <v>48</v>
      </c>
      <c r="HY14" s="220"/>
      <c r="HZ14" s="220"/>
      <c r="IA14" s="220"/>
      <c r="IB14" s="102"/>
      <c r="IC14" s="102"/>
      <c r="ID14" s="219" t="s">
        <v>49</v>
      </c>
      <c r="IE14" s="219"/>
      <c r="IF14" s="219"/>
      <c r="IG14" s="219"/>
      <c r="IH14" s="82"/>
      <c r="II14" s="82"/>
      <c r="IJ14" s="82"/>
      <c r="IK14" s="83"/>
      <c r="IL14" s="81"/>
      <c r="IM14" s="82"/>
      <c r="IN14" s="82"/>
      <c r="IO14" s="82"/>
      <c r="IP14" s="219" t="s">
        <v>41</v>
      </c>
      <c r="IQ14" s="219"/>
      <c r="IR14" s="219"/>
      <c r="IS14" s="219"/>
      <c r="IT14" s="82"/>
      <c r="IU14" s="82"/>
      <c r="IV14" s="220" t="s">
        <v>42</v>
      </c>
      <c r="IW14" s="220"/>
      <c r="IX14" s="220"/>
      <c r="IY14" s="220"/>
      <c r="IZ14" s="102"/>
      <c r="JA14" s="102"/>
      <c r="JB14" s="219" t="s">
        <v>43</v>
      </c>
      <c r="JC14" s="219"/>
      <c r="JD14" s="219"/>
      <c r="JE14" s="219"/>
      <c r="JF14" s="82"/>
      <c r="JG14" s="82"/>
      <c r="JH14" s="220" t="s">
        <v>44</v>
      </c>
      <c r="JI14" s="220"/>
      <c r="JJ14" s="220"/>
      <c r="JK14" s="220"/>
      <c r="JL14" s="102"/>
      <c r="JM14" s="102"/>
      <c r="JN14" s="219" t="s">
        <v>45</v>
      </c>
      <c r="JO14" s="219"/>
      <c r="JP14" s="219"/>
      <c r="JQ14" s="219"/>
      <c r="JR14" s="82"/>
      <c r="JS14" s="82"/>
      <c r="JT14" s="220" t="s">
        <v>46</v>
      </c>
      <c r="JU14" s="220"/>
      <c r="JV14" s="220"/>
      <c r="JW14" s="220"/>
      <c r="JX14" s="102"/>
      <c r="JY14" s="102"/>
      <c r="JZ14" s="219" t="s">
        <v>47</v>
      </c>
      <c r="KA14" s="219"/>
      <c r="KB14" s="219"/>
      <c r="KC14" s="219"/>
      <c r="KD14" s="82"/>
      <c r="KE14" s="82"/>
      <c r="KF14" s="220" t="s">
        <v>48</v>
      </c>
      <c r="KG14" s="220"/>
      <c r="KH14" s="220"/>
      <c r="KI14" s="220"/>
      <c r="KJ14" s="102"/>
      <c r="KK14" s="102"/>
      <c r="KL14" s="219" t="s">
        <v>49</v>
      </c>
      <c r="KM14" s="219"/>
      <c r="KN14" s="219"/>
      <c r="KO14" s="219"/>
      <c r="KP14" s="82"/>
      <c r="KQ14" s="82"/>
      <c r="KR14" s="82"/>
      <c r="KS14" s="83"/>
      <c r="KT14" s="81"/>
      <c r="KU14" s="82"/>
      <c r="KV14" s="82"/>
      <c r="KW14" s="82"/>
      <c r="KX14" s="219" t="s">
        <v>41</v>
      </c>
      <c r="KY14" s="219"/>
      <c r="KZ14" s="219"/>
      <c r="LA14" s="219"/>
      <c r="LB14" s="82"/>
      <c r="LC14" s="82"/>
      <c r="LD14" s="220" t="s">
        <v>42</v>
      </c>
      <c r="LE14" s="220"/>
      <c r="LF14" s="220"/>
      <c r="LG14" s="220"/>
      <c r="LH14" s="102"/>
      <c r="LI14" s="102"/>
      <c r="LJ14" s="219" t="s">
        <v>43</v>
      </c>
      <c r="LK14" s="219"/>
      <c r="LL14" s="219"/>
      <c r="LM14" s="219"/>
      <c r="LN14" s="82"/>
      <c r="LO14" s="82"/>
      <c r="LP14" s="220" t="s">
        <v>44</v>
      </c>
      <c r="LQ14" s="220"/>
      <c r="LR14" s="220"/>
      <c r="LS14" s="220"/>
      <c r="LT14" s="102"/>
      <c r="LU14" s="102"/>
      <c r="LV14" s="219" t="s">
        <v>45</v>
      </c>
      <c r="LW14" s="219"/>
      <c r="LX14" s="219"/>
      <c r="LY14" s="219"/>
      <c r="LZ14" s="82"/>
      <c r="MA14" s="82"/>
      <c r="MB14" s="220" t="s">
        <v>46</v>
      </c>
      <c r="MC14" s="220"/>
      <c r="MD14" s="220"/>
      <c r="ME14" s="220"/>
      <c r="MF14" s="102"/>
      <c r="MG14" s="102"/>
      <c r="MH14" s="219" t="s">
        <v>47</v>
      </c>
      <c r="MI14" s="219"/>
      <c r="MJ14" s="219"/>
      <c r="MK14" s="219"/>
      <c r="ML14" s="82"/>
      <c r="MM14" s="82"/>
      <c r="MN14" s="220" t="s">
        <v>48</v>
      </c>
      <c r="MO14" s="220"/>
      <c r="MP14" s="220"/>
      <c r="MQ14" s="220"/>
      <c r="MR14" s="102"/>
      <c r="MS14" s="102"/>
      <c r="MT14" s="219" t="s">
        <v>49</v>
      </c>
      <c r="MU14" s="219"/>
      <c r="MV14" s="219"/>
      <c r="MW14" s="219"/>
      <c r="MX14" s="82"/>
      <c r="MY14" s="82"/>
      <c r="MZ14" s="82"/>
      <c r="NA14" s="83"/>
      <c r="NB14" s="81"/>
      <c r="NC14" s="82"/>
      <c r="ND14" s="82"/>
      <c r="NE14" s="82"/>
      <c r="NF14" s="219" t="s">
        <v>41</v>
      </c>
      <c r="NG14" s="219"/>
      <c r="NH14" s="219"/>
      <c r="NI14" s="219"/>
      <c r="NJ14" s="82"/>
      <c r="NK14" s="82"/>
      <c r="NL14" s="220" t="s">
        <v>42</v>
      </c>
      <c r="NM14" s="220"/>
      <c r="NN14" s="220"/>
      <c r="NO14" s="220"/>
      <c r="NP14" s="102"/>
      <c r="NQ14" s="102"/>
      <c r="NR14" s="219" t="s">
        <v>43</v>
      </c>
      <c r="NS14" s="219"/>
      <c r="NT14" s="219"/>
      <c r="NU14" s="219"/>
      <c r="NV14" s="82"/>
      <c r="NW14" s="82"/>
      <c r="NX14" s="220" t="s">
        <v>44</v>
      </c>
      <c r="NY14" s="220"/>
      <c r="NZ14" s="220"/>
      <c r="OA14" s="220"/>
      <c r="OB14" s="102"/>
      <c r="OC14" s="102"/>
      <c r="OD14" s="219" t="s">
        <v>45</v>
      </c>
      <c r="OE14" s="219"/>
      <c r="OF14" s="219"/>
      <c r="OG14" s="219"/>
      <c r="OH14" s="82"/>
      <c r="OI14" s="82"/>
      <c r="OJ14" s="220" t="s">
        <v>46</v>
      </c>
      <c r="OK14" s="220"/>
      <c r="OL14" s="220"/>
      <c r="OM14" s="220"/>
      <c r="ON14" s="102"/>
      <c r="OO14" s="102"/>
      <c r="OP14" s="219" t="s">
        <v>47</v>
      </c>
      <c r="OQ14" s="219"/>
      <c r="OR14" s="219"/>
      <c r="OS14" s="219"/>
      <c r="OT14" s="82"/>
      <c r="OU14" s="82"/>
      <c r="OV14" s="220" t="s">
        <v>48</v>
      </c>
      <c r="OW14" s="220"/>
      <c r="OX14" s="220"/>
      <c r="OY14" s="220"/>
      <c r="OZ14" s="102"/>
      <c r="PA14" s="102"/>
      <c r="PB14" s="219" t="s">
        <v>49</v>
      </c>
      <c r="PC14" s="219"/>
      <c r="PD14" s="219"/>
      <c r="PE14" s="219"/>
      <c r="PF14" s="82"/>
      <c r="PG14" s="82"/>
      <c r="PH14" s="82"/>
      <c r="PI14" s="83"/>
      <c r="PJ14" s="81"/>
      <c r="PK14" s="82"/>
      <c r="PL14" s="82"/>
      <c r="PM14" s="82"/>
      <c r="PN14" s="219" t="s">
        <v>41</v>
      </c>
      <c r="PO14" s="219"/>
      <c r="PP14" s="219"/>
      <c r="PQ14" s="219"/>
      <c r="PR14" s="82"/>
      <c r="PS14" s="82"/>
      <c r="PT14" s="220" t="s">
        <v>42</v>
      </c>
      <c r="PU14" s="220"/>
      <c r="PV14" s="220"/>
      <c r="PW14" s="220"/>
      <c r="PX14" s="102"/>
      <c r="PY14" s="102"/>
      <c r="PZ14" s="219" t="s">
        <v>43</v>
      </c>
      <c r="QA14" s="219"/>
      <c r="QB14" s="219"/>
      <c r="QC14" s="219"/>
      <c r="QD14" s="82"/>
      <c r="QE14" s="82"/>
      <c r="QF14" s="220" t="s">
        <v>44</v>
      </c>
      <c r="QG14" s="220"/>
      <c r="QH14" s="220"/>
      <c r="QI14" s="220"/>
      <c r="QJ14" s="102"/>
      <c r="QK14" s="102"/>
      <c r="QL14" s="219" t="s">
        <v>45</v>
      </c>
      <c r="QM14" s="219"/>
      <c r="QN14" s="219"/>
      <c r="QO14" s="219"/>
      <c r="QP14" s="82"/>
      <c r="QQ14" s="82"/>
      <c r="QR14" s="220" t="s">
        <v>46</v>
      </c>
      <c r="QS14" s="220"/>
      <c r="QT14" s="220"/>
      <c r="QU14" s="220"/>
      <c r="QV14" s="102"/>
      <c r="QW14" s="102"/>
      <c r="QX14" s="219" t="s">
        <v>47</v>
      </c>
      <c r="QY14" s="219"/>
      <c r="QZ14" s="219"/>
      <c r="RA14" s="219"/>
      <c r="RB14" s="82"/>
      <c r="RC14" s="82"/>
      <c r="RD14" s="220" t="s">
        <v>48</v>
      </c>
      <c r="RE14" s="220"/>
      <c r="RF14" s="220"/>
      <c r="RG14" s="220"/>
      <c r="RH14" s="102"/>
      <c r="RI14" s="102"/>
      <c r="RJ14" s="219" t="s">
        <v>49</v>
      </c>
      <c r="RK14" s="219"/>
      <c r="RL14" s="219"/>
      <c r="RM14" s="219"/>
      <c r="RN14" s="82"/>
      <c r="RO14" s="82"/>
      <c r="RP14" s="82"/>
      <c r="RQ14" s="83"/>
      <c r="RR14" s="81"/>
      <c r="RS14" s="82"/>
      <c r="RT14" s="82"/>
      <c r="RU14" s="82"/>
      <c r="RV14" s="219" t="s">
        <v>41</v>
      </c>
      <c r="RW14" s="219"/>
      <c r="RX14" s="219"/>
      <c r="RY14" s="219"/>
      <c r="RZ14" s="82"/>
      <c r="SA14" s="82"/>
      <c r="SB14" s="220" t="s">
        <v>42</v>
      </c>
      <c r="SC14" s="220"/>
      <c r="SD14" s="220"/>
      <c r="SE14" s="220"/>
      <c r="SF14" s="102"/>
      <c r="SG14" s="102"/>
      <c r="SH14" s="219" t="s">
        <v>43</v>
      </c>
      <c r="SI14" s="219"/>
      <c r="SJ14" s="219"/>
      <c r="SK14" s="219"/>
      <c r="SL14" s="82"/>
      <c r="SM14" s="82"/>
      <c r="SN14" s="220" t="s">
        <v>44</v>
      </c>
      <c r="SO14" s="220"/>
      <c r="SP14" s="220"/>
      <c r="SQ14" s="220"/>
      <c r="SR14" s="102"/>
      <c r="SS14" s="102"/>
      <c r="ST14" s="219" t="s">
        <v>45</v>
      </c>
      <c r="SU14" s="219"/>
      <c r="SV14" s="219"/>
      <c r="SW14" s="219"/>
      <c r="SX14" s="82"/>
      <c r="SY14" s="82"/>
      <c r="SZ14" s="220" t="s">
        <v>46</v>
      </c>
      <c r="TA14" s="220"/>
      <c r="TB14" s="220"/>
      <c r="TC14" s="220"/>
      <c r="TD14" s="102"/>
      <c r="TE14" s="102"/>
      <c r="TF14" s="219" t="s">
        <v>47</v>
      </c>
      <c r="TG14" s="219"/>
      <c r="TH14" s="219"/>
      <c r="TI14" s="219"/>
      <c r="TJ14" s="82"/>
      <c r="TK14" s="82"/>
      <c r="TL14" s="220" t="s">
        <v>48</v>
      </c>
      <c r="TM14" s="220"/>
      <c r="TN14" s="220"/>
      <c r="TO14" s="220"/>
      <c r="TP14" s="102"/>
      <c r="TQ14" s="102"/>
      <c r="TR14" s="219" t="s">
        <v>49</v>
      </c>
      <c r="TS14" s="219"/>
      <c r="TT14" s="219"/>
      <c r="TU14" s="219"/>
      <c r="TV14" s="82"/>
      <c r="TW14" s="82"/>
      <c r="TX14" s="82"/>
      <c r="TY14" s="83"/>
      <c r="TZ14" s="81"/>
      <c r="UA14" s="82"/>
      <c r="UB14" s="82"/>
      <c r="UC14" s="82"/>
      <c r="UD14" s="219" t="s">
        <v>41</v>
      </c>
      <c r="UE14" s="219"/>
      <c r="UF14" s="219"/>
      <c r="UG14" s="219"/>
      <c r="UH14" s="82"/>
      <c r="UI14" s="82"/>
      <c r="UJ14" s="220" t="s">
        <v>42</v>
      </c>
      <c r="UK14" s="220"/>
      <c r="UL14" s="220"/>
      <c r="UM14" s="220"/>
      <c r="UN14" s="102"/>
      <c r="UO14" s="102"/>
      <c r="UP14" s="219" t="s">
        <v>43</v>
      </c>
      <c r="UQ14" s="219"/>
      <c r="UR14" s="219"/>
      <c r="US14" s="219"/>
      <c r="UT14" s="82"/>
      <c r="UU14" s="82"/>
      <c r="UV14" s="220" t="s">
        <v>44</v>
      </c>
      <c r="UW14" s="220"/>
      <c r="UX14" s="220"/>
      <c r="UY14" s="220"/>
      <c r="UZ14" s="102"/>
      <c r="VA14" s="102"/>
      <c r="VB14" s="219" t="s">
        <v>45</v>
      </c>
      <c r="VC14" s="219"/>
      <c r="VD14" s="219"/>
      <c r="VE14" s="219"/>
      <c r="VF14" s="82"/>
      <c r="VG14" s="82"/>
      <c r="VH14" s="220" t="s">
        <v>46</v>
      </c>
      <c r="VI14" s="220"/>
      <c r="VJ14" s="220"/>
      <c r="VK14" s="220"/>
      <c r="VL14" s="102"/>
      <c r="VM14" s="102"/>
      <c r="VN14" s="219" t="s">
        <v>47</v>
      </c>
      <c r="VO14" s="219"/>
      <c r="VP14" s="219"/>
      <c r="VQ14" s="219"/>
      <c r="VR14" s="82"/>
      <c r="VS14" s="82"/>
      <c r="VT14" s="220" t="s">
        <v>48</v>
      </c>
      <c r="VU14" s="220"/>
      <c r="VV14" s="220"/>
      <c r="VW14" s="220"/>
      <c r="VX14" s="102"/>
      <c r="VY14" s="102"/>
      <c r="VZ14" s="219" t="s">
        <v>49</v>
      </c>
      <c r="WA14" s="219"/>
      <c r="WB14" s="219"/>
      <c r="WC14" s="219"/>
      <c r="WD14" s="82"/>
      <c r="WE14" s="82"/>
      <c r="WF14" s="82"/>
      <c r="WG14" s="83"/>
      <c r="WH14" s="81"/>
      <c r="WI14" s="82"/>
      <c r="WJ14" s="82"/>
      <c r="WK14" s="82"/>
      <c r="WL14" s="219" t="s">
        <v>41</v>
      </c>
      <c r="WM14" s="219"/>
      <c r="WN14" s="219"/>
      <c r="WO14" s="219"/>
      <c r="WP14" s="82"/>
      <c r="WQ14" s="82"/>
      <c r="WR14" s="220" t="s">
        <v>42</v>
      </c>
      <c r="WS14" s="220"/>
      <c r="WT14" s="220"/>
      <c r="WU14" s="220"/>
      <c r="WV14" s="102"/>
      <c r="WW14" s="102"/>
      <c r="WX14" s="219" t="s">
        <v>43</v>
      </c>
      <c r="WY14" s="219"/>
      <c r="WZ14" s="219"/>
      <c r="XA14" s="219"/>
      <c r="XB14" s="82"/>
      <c r="XC14" s="82"/>
      <c r="XD14" s="220" t="s">
        <v>44</v>
      </c>
      <c r="XE14" s="220"/>
      <c r="XF14" s="220"/>
      <c r="XG14" s="220"/>
      <c r="XH14" s="102"/>
      <c r="XI14" s="102"/>
      <c r="XJ14" s="219" t="s">
        <v>45</v>
      </c>
      <c r="XK14" s="219"/>
      <c r="XL14" s="219"/>
      <c r="XM14" s="219"/>
      <c r="XN14" s="82"/>
      <c r="XO14" s="82"/>
      <c r="XP14" s="220" t="s">
        <v>46</v>
      </c>
      <c r="XQ14" s="220"/>
      <c r="XR14" s="220"/>
      <c r="XS14" s="220"/>
      <c r="XT14" s="102"/>
      <c r="XU14" s="102"/>
      <c r="XV14" s="219" t="s">
        <v>47</v>
      </c>
      <c r="XW14" s="219"/>
      <c r="XX14" s="219"/>
      <c r="XY14" s="219"/>
      <c r="XZ14" s="82"/>
      <c r="YA14" s="82"/>
      <c r="YB14" s="220" t="s">
        <v>48</v>
      </c>
      <c r="YC14" s="220"/>
      <c r="YD14" s="220"/>
      <c r="YE14" s="220"/>
      <c r="YF14" s="102"/>
      <c r="YG14" s="102"/>
      <c r="YH14" s="219" t="s">
        <v>49</v>
      </c>
      <c r="YI14" s="219"/>
      <c r="YJ14" s="219"/>
      <c r="YK14" s="219"/>
      <c r="YL14" s="82"/>
      <c r="YM14" s="82"/>
      <c r="YN14" s="82"/>
      <c r="YO14" s="83"/>
      <c r="YP14" s="81"/>
      <c r="YQ14" s="82"/>
      <c r="YR14" s="82"/>
      <c r="YS14" s="82"/>
      <c r="YT14" s="219" t="s">
        <v>41</v>
      </c>
      <c r="YU14" s="219"/>
      <c r="YV14" s="219"/>
      <c r="YW14" s="219"/>
      <c r="YX14" s="82"/>
      <c r="YY14" s="82"/>
      <c r="YZ14" s="220" t="s">
        <v>42</v>
      </c>
      <c r="ZA14" s="220"/>
      <c r="ZB14" s="220"/>
      <c r="ZC14" s="220"/>
      <c r="ZD14" s="102"/>
      <c r="ZE14" s="102"/>
      <c r="ZF14" s="219" t="s">
        <v>43</v>
      </c>
      <c r="ZG14" s="219"/>
      <c r="ZH14" s="219"/>
      <c r="ZI14" s="219"/>
      <c r="ZJ14" s="82"/>
      <c r="ZK14" s="82"/>
      <c r="ZL14" s="220" t="s">
        <v>44</v>
      </c>
      <c r="ZM14" s="220"/>
      <c r="ZN14" s="220"/>
      <c r="ZO14" s="220"/>
      <c r="ZP14" s="102"/>
      <c r="ZQ14" s="102"/>
      <c r="ZR14" s="219" t="s">
        <v>45</v>
      </c>
      <c r="ZS14" s="219"/>
      <c r="ZT14" s="219"/>
      <c r="ZU14" s="219"/>
      <c r="ZV14" s="82"/>
      <c r="ZW14" s="82"/>
      <c r="ZX14" s="220" t="s">
        <v>46</v>
      </c>
      <c r="ZY14" s="220"/>
      <c r="ZZ14" s="220"/>
      <c r="AAA14" s="220"/>
      <c r="AAB14" s="102"/>
      <c r="AAC14" s="102"/>
      <c r="AAD14" s="219" t="s">
        <v>47</v>
      </c>
      <c r="AAE14" s="219"/>
      <c r="AAF14" s="219"/>
      <c r="AAG14" s="219"/>
      <c r="AAH14" s="82"/>
      <c r="AAI14" s="82"/>
      <c r="AAJ14" s="220" t="s">
        <v>48</v>
      </c>
      <c r="AAK14" s="220"/>
      <c r="AAL14" s="220"/>
      <c r="AAM14" s="220"/>
      <c r="AAN14" s="102"/>
      <c r="AAO14" s="102"/>
      <c r="AAP14" s="219" t="s">
        <v>49</v>
      </c>
      <c r="AAQ14" s="219"/>
      <c r="AAR14" s="219"/>
      <c r="AAS14" s="219"/>
      <c r="AAT14" s="82"/>
      <c r="AAU14" s="82"/>
      <c r="AAV14" s="82"/>
      <c r="AAW14" s="83"/>
      <c r="AAX14" s="81"/>
      <c r="AAY14" s="82"/>
      <c r="AAZ14" s="82"/>
      <c r="ABA14" s="82"/>
      <c r="ABB14" s="219" t="s">
        <v>41</v>
      </c>
      <c r="ABC14" s="219"/>
      <c r="ABD14" s="219"/>
      <c r="ABE14" s="219"/>
      <c r="ABF14" s="82"/>
      <c r="ABG14" s="82"/>
      <c r="ABH14" s="220" t="s">
        <v>42</v>
      </c>
      <c r="ABI14" s="220"/>
      <c r="ABJ14" s="220"/>
      <c r="ABK14" s="220"/>
      <c r="ABL14" s="102"/>
      <c r="ABM14" s="102"/>
      <c r="ABN14" s="219" t="s">
        <v>43</v>
      </c>
      <c r="ABO14" s="219"/>
      <c r="ABP14" s="219"/>
      <c r="ABQ14" s="219"/>
      <c r="ABR14" s="82"/>
      <c r="ABS14" s="82"/>
      <c r="ABT14" s="220" t="s">
        <v>44</v>
      </c>
      <c r="ABU14" s="220"/>
      <c r="ABV14" s="220"/>
      <c r="ABW14" s="220"/>
      <c r="ABX14" s="102"/>
      <c r="ABY14" s="102"/>
      <c r="ABZ14" s="219" t="s">
        <v>45</v>
      </c>
      <c r="ACA14" s="219"/>
      <c r="ACB14" s="219"/>
      <c r="ACC14" s="219"/>
      <c r="ACD14" s="82"/>
      <c r="ACE14" s="82"/>
      <c r="ACF14" s="220" t="s">
        <v>46</v>
      </c>
      <c r="ACG14" s="220"/>
      <c r="ACH14" s="220"/>
      <c r="ACI14" s="220"/>
      <c r="ACJ14" s="102"/>
      <c r="ACK14" s="102"/>
      <c r="ACL14" s="219" t="s">
        <v>47</v>
      </c>
      <c r="ACM14" s="219"/>
      <c r="ACN14" s="219"/>
      <c r="ACO14" s="219"/>
      <c r="ACP14" s="82"/>
      <c r="ACQ14" s="82"/>
      <c r="ACR14" s="220" t="s">
        <v>48</v>
      </c>
      <c r="ACS14" s="220"/>
      <c r="ACT14" s="220"/>
      <c r="ACU14" s="220"/>
      <c r="ACV14" s="102"/>
      <c r="ACW14" s="102"/>
      <c r="ACX14" s="219" t="s">
        <v>49</v>
      </c>
      <c r="ACY14" s="219"/>
      <c r="ACZ14" s="219"/>
      <c r="ADA14" s="219"/>
      <c r="ADB14" s="82"/>
      <c r="ADC14" s="82"/>
      <c r="ADD14" s="82"/>
      <c r="ADE14" s="83"/>
      <c r="ADF14" s="81"/>
      <c r="ADG14" s="82"/>
      <c r="ADH14" s="82"/>
      <c r="ADI14" s="82"/>
      <c r="ADJ14" s="219" t="s">
        <v>41</v>
      </c>
      <c r="ADK14" s="219"/>
      <c r="ADL14" s="219"/>
      <c r="ADM14" s="219"/>
      <c r="ADN14" s="82"/>
      <c r="ADO14" s="82"/>
      <c r="ADP14" s="220" t="s">
        <v>42</v>
      </c>
      <c r="ADQ14" s="220"/>
      <c r="ADR14" s="220"/>
      <c r="ADS14" s="220"/>
      <c r="ADT14" s="102"/>
      <c r="ADU14" s="102"/>
      <c r="ADV14" s="219" t="s">
        <v>43</v>
      </c>
      <c r="ADW14" s="219"/>
      <c r="ADX14" s="219"/>
      <c r="ADY14" s="219"/>
      <c r="ADZ14" s="82"/>
      <c r="AEA14" s="82"/>
      <c r="AEB14" s="220" t="s">
        <v>44</v>
      </c>
      <c r="AEC14" s="220"/>
      <c r="AED14" s="220"/>
      <c r="AEE14" s="220"/>
      <c r="AEF14" s="102"/>
      <c r="AEG14" s="102"/>
      <c r="AEH14" s="219" t="s">
        <v>45</v>
      </c>
      <c r="AEI14" s="219"/>
      <c r="AEJ14" s="219"/>
      <c r="AEK14" s="219"/>
      <c r="AEL14" s="82"/>
      <c r="AEM14" s="82"/>
      <c r="AEN14" s="220" t="s">
        <v>46</v>
      </c>
      <c r="AEO14" s="220"/>
      <c r="AEP14" s="220"/>
      <c r="AEQ14" s="220"/>
      <c r="AER14" s="102"/>
      <c r="AES14" s="102"/>
      <c r="AET14" s="219" t="s">
        <v>47</v>
      </c>
      <c r="AEU14" s="219"/>
      <c r="AEV14" s="219"/>
      <c r="AEW14" s="219"/>
      <c r="AEX14" s="82"/>
      <c r="AEY14" s="82"/>
      <c r="AEZ14" s="220" t="s">
        <v>48</v>
      </c>
      <c r="AFA14" s="220"/>
      <c r="AFB14" s="220"/>
      <c r="AFC14" s="220"/>
      <c r="AFD14" s="102"/>
      <c r="AFE14" s="102"/>
      <c r="AFF14" s="219" t="s">
        <v>49</v>
      </c>
      <c r="AFG14" s="219"/>
      <c r="AFH14" s="219"/>
      <c r="AFI14" s="219"/>
      <c r="AFJ14" s="82"/>
      <c r="AFK14" s="82"/>
      <c r="AFL14" s="82"/>
      <c r="AFM14" s="83"/>
      <c r="AFN14" s="81"/>
      <c r="AFO14" s="82"/>
      <c r="AFP14" s="82"/>
      <c r="AFQ14" s="82"/>
      <c r="AFR14" s="219" t="s">
        <v>41</v>
      </c>
      <c r="AFS14" s="219"/>
      <c r="AFT14" s="219"/>
      <c r="AFU14" s="219"/>
      <c r="AFV14" s="82"/>
      <c r="AFW14" s="82"/>
      <c r="AFX14" s="220" t="s">
        <v>42</v>
      </c>
      <c r="AFY14" s="220"/>
      <c r="AFZ14" s="220"/>
      <c r="AGA14" s="220"/>
      <c r="AGB14" s="102"/>
      <c r="AGC14" s="102"/>
      <c r="AGD14" s="219" t="s">
        <v>43</v>
      </c>
      <c r="AGE14" s="219"/>
      <c r="AGF14" s="219"/>
      <c r="AGG14" s="219"/>
      <c r="AGH14" s="82"/>
      <c r="AGI14" s="82"/>
      <c r="AGJ14" s="220" t="s">
        <v>44</v>
      </c>
      <c r="AGK14" s="220"/>
      <c r="AGL14" s="220"/>
      <c r="AGM14" s="220"/>
      <c r="AGN14" s="102"/>
      <c r="AGO14" s="102"/>
      <c r="AGP14" s="219" t="s">
        <v>45</v>
      </c>
      <c r="AGQ14" s="219"/>
      <c r="AGR14" s="219"/>
      <c r="AGS14" s="219"/>
      <c r="AGT14" s="82"/>
      <c r="AGU14" s="82"/>
      <c r="AGV14" s="220" t="s">
        <v>46</v>
      </c>
      <c r="AGW14" s="220"/>
      <c r="AGX14" s="220"/>
      <c r="AGY14" s="220"/>
      <c r="AGZ14" s="102"/>
      <c r="AHA14" s="102"/>
      <c r="AHB14" s="219" t="s">
        <v>47</v>
      </c>
      <c r="AHC14" s="219"/>
      <c r="AHD14" s="219"/>
      <c r="AHE14" s="219"/>
      <c r="AHF14" s="82"/>
      <c r="AHG14" s="82"/>
      <c r="AHH14" s="220" t="s">
        <v>48</v>
      </c>
      <c r="AHI14" s="220"/>
      <c r="AHJ14" s="220"/>
      <c r="AHK14" s="220"/>
      <c r="AHL14" s="102"/>
      <c r="AHM14" s="102"/>
      <c r="AHN14" s="219" t="s">
        <v>49</v>
      </c>
      <c r="AHO14" s="219"/>
      <c r="AHP14" s="219"/>
      <c r="AHQ14" s="219"/>
      <c r="AHR14" s="82"/>
      <c r="AHS14" s="82"/>
      <c r="AHT14" s="82"/>
      <c r="AHU14" s="83"/>
      <c r="AHV14" s="81"/>
      <c r="AHW14" s="82"/>
      <c r="AHX14" s="82"/>
      <c r="AHY14" s="82"/>
      <c r="AHZ14" s="219" t="s">
        <v>41</v>
      </c>
      <c r="AIA14" s="219"/>
      <c r="AIB14" s="219"/>
      <c r="AIC14" s="219"/>
      <c r="AID14" s="82"/>
      <c r="AIE14" s="82"/>
      <c r="AIF14" s="220" t="s">
        <v>42</v>
      </c>
      <c r="AIG14" s="220"/>
      <c r="AIH14" s="220"/>
      <c r="AII14" s="220"/>
      <c r="AIJ14" s="102"/>
      <c r="AIK14" s="102"/>
      <c r="AIL14" s="219" t="s">
        <v>43</v>
      </c>
      <c r="AIM14" s="219"/>
      <c r="AIN14" s="219"/>
      <c r="AIO14" s="219"/>
      <c r="AIP14" s="82"/>
      <c r="AIQ14" s="82"/>
      <c r="AIR14" s="220" t="s">
        <v>44</v>
      </c>
      <c r="AIS14" s="220"/>
      <c r="AIT14" s="220"/>
      <c r="AIU14" s="220"/>
      <c r="AIV14" s="102"/>
      <c r="AIW14" s="102"/>
      <c r="AIX14" s="219" t="s">
        <v>45</v>
      </c>
      <c r="AIY14" s="219"/>
      <c r="AIZ14" s="219"/>
      <c r="AJA14" s="219"/>
      <c r="AJB14" s="82"/>
      <c r="AJC14" s="82"/>
      <c r="AJD14" s="220" t="s">
        <v>46</v>
      </c>
      <c r="AJE14" s="220"/>
      <c r="AJF14" s="220"/>
      <c r="AJG14" s="220"/>
      <c r="AJH14" s="102"/>
      <c r="AJI14" s="102"/>
      <c r="AJJ14" s="219" t="s">
        <v>47</v>
      </c>
      <c r="AJK14" s="219"/>
      <c r="AJL14" s="219"/>
      <c r="AJM14" s="219"/>
      <c r="AJN14" s="82"/>
      <c r="AJO14" s="82"/>
      <c r="AJP14" s="220" t="s">
        <v>48</v>
      </c>
      <c r="AJQ14" s="220"/>
      <c r="AJR14" s="220"/>
      <c r="AJS14" s="220"/>
      <c r="AJT14" s="102"/>
      <c r="AJU14" s="102"/>
      <c r="AJV14" s="219" t="s">
        <v>49</v>
      </c>
      <c r="AJW14" s="219"/>
      <c r="AJX14" s="219"/>
      <c r="AJY14" s="219"/>
      <c r="AJZ14" s="82"/>
      <c r="AKA14" s="82"/>
      <c r="AKB14" s="82"/>
      <c r="AKC14" s="83"/>
      <c r="AKD14" s="81"/>
      <c r="AKE14" s="82"/>
      <c r="AKF14" s="82"/>
      <c r="AKG14" s="82"/>
      <c r="AKH14" s="219" t="s">
        <v>41</v>
      </c>
      <c r="AKI14" s="219"/>
      <c r="AKJ14" s="219"/>
      <c r="AKK14" s="219"/>
      <c r="AKL14" s="82"/>
      <c r="AKM14" s="82"/>
      <c r="AKN14" s="220" t="s">
        <v>42</v>
      </c>
      <c r="AKO14" s="220"/>
      <c r="AKP14" s="220"/>
      <c r="AKQ14" s="220"/>
      <c r="AKR14" s="102"/>
      <c r="AKS14" s="102"/>
      <c r="AKT14" s="219" t="s">
        <v>43</v>
      </c>
      <c r="AKU14" s="219"/>
      <c r="AKV14" s="219"/>
      <c r="AKW14" s="219"/>
      <c r="AKX14" s="82"/>
      <c r="AKY14" s="82"/>
      <c r="AKZ14" s="220" t="s">
        <v>44</v>
      </c>
      <c r="ALA14" s="220"/>
      <c r="ALB14" s="220"/>
      <c r="ALC14" s="220"/>
      <c r="ALD14" s="102"/>
      <c r="ALE14" s="102"/>
      <c r="ALF14" s="219" t="s">
        <v>45</v>
      </c>
      <c r="ALG14" s="219"/>
      <c r="ALH14" s="219"/>
      <c r="ALI14" s="219"/>
      <c r="ALJ14" s="82"/>
      <c r="ALK14" s="82"/>
      <c r="ALL14" s="220" t="s">
        <v>46</v>
      </c>
      <c r="ALM14" s="220"/>
      <c r="ALN14" s="220"/>
      <c r="ALO14" s="220"/>
      <c r="ALP14" s="102"/>
      <c r="ALQ14" s="102"/>
      <c r="ALR14" s="219" t="s">
        <v>47</v>
      </c>
      <c r="ALS14" s="219"/>
      <c r="ALT14" s="219"/>
      <c r="ALU14" s="219"/>
      <c r="ALV14" s="82"/>
      <c r="ALW14" s="82"/>
      <c r="ALX14" s="220" t="s">
        <v>48</v>
      </c>
      <c r="ALY14" s="220"/>
      <c r="ALZ14" s="220"/>
      <c r="AMA14" s="220"/>
      <c r="AMB14" s="102"/>
      <c r="AMC14" s="102"/>
      <c r="AMD14" s="219" t="s">
        <v>49</v>
      </c>
      <c r="AME14" s="219"/>
      <c r="AMF14" s="219"/>
      <c r="AMG14" s="219"/>
      <c r="AMH14" s="82"/>
      <c r="AMI14" s="82"/>
      <c r="AMJ14" s="82"/>
      <c r="AMK14" s="83"/>
      <c r="AML14" s="81"/>
      <c r="AMM14" s="82"/>
      <c r="AMN14" s="82"/>
      <c r="AMO14" s="82"/>
      <c r="AMP14" s="219" t="s">
        <v>41</v>
      </c>
      <c r="AMQ14" s="219"/>
      <c r="AMR14" s="219"/>
      <c r="AMS14" s="219"/>
      <c r="AMT14" s="82"/>
      <c r="AMU14" s="82"/>
      <c r="AMV14" s="220" t="s">
        <v>42</v>
      </c>
      <c r="AMW14" s="220"/>
      <c r="AMX14" s="220"/>
      <c r="AMY14" s="220"/>
      <c r="AMZ14" s="102"/>
      <c r="ANA14" s="102"/>
      <c r="ANB14" s="219" t="s">
        <v>43</v>
      </c>
      <c r="ANC14" s="219"/>
      <c r="AND14" s="219"/>
      <c r="ANE14" s="219"/>
      <c r="ANF14" s="82"/>
      <c r="ANG14" s="82"/>
      <c r="ANH14" s="220" t="s">
        <v>44</v>
      </c>
      <c r="ANI14" s="220"/>
      <c r="ANJ14" s="220"/>
      <c r="ANK14" s="220"/>
      <c r="ANL14" s="102"/>
      <c r="ANM14" s="102"/>
      <c r="ANN14" s="219" t="s">
        <v>45</v>
      </c>
      <c r="ANO14" s="219"/>
      <c r="ANP14" s="219"/>
      <c r="ANQ14" s="219"/>
      <c r="ANR14" s="82"/>
      <c r="ANS14" s="82"/>
      <c r="ANT14" s="220" t="s">
        <v>46</v>
      </c>
      <c r="ANU14" s="220"/>
      <c r="ANV14" s="220"/>
      <c r="ANW14" s="220"/>
      <c r="ANX14" s="102"/>
      <c r="ANY14" s="102"/>
      <c r="ANZ14" s="219" t="s">
        <v>47</v>
      </c>
      <c r="AOA14" s="219"/>
      <c r="AOB14" s="219"/>
      <c r="AOC14" s="219"/>
      <c r="AOD14" s="82"/>
      <c r="AOE14" s="82"/>
      <c r="AOF14" s="220" t="s">
        <v>48</v>
      </c>
      <c r="AOG14" s="220"/>
      <c r="AOH14" s="220"/>
      <c r="AOI14" s="220"/>
      <c r="AOJ14" s="102"/>
      <c r="AOK14" s="102"/>
      <c r="AOL14" s="219" t="s">
        <v>49</v>
      </c>
      <c r="AOM14" s="219"/>
      <c r="AON14" s="219"/>
      <c r="AOO14" s="219"/>
      <c r="AOP14" s="82"/>
      <c r="AOQ14" s="82"/>
      <c r="AOR14" s="82"/>
      <c r="AOS14" s="83"/>
      <c r="AOT14" s="81"/>
      <c r="AOU14" s="82"/>
      <c r="AOV14" s="82"/>
      <c r="AOW14" s="82"/>
      <c r="AOX14" s="219" t="s">
        <v>41</v>
      </c>
      <c r="AOY14" s="219"/>
      <c r="AOZ14" s="219"/>
      <c r="APA14" s="219"/>
      <c r="APB14" s="82"/>
      <c r="APC14" s="82"/>
      <c r="APD14" s="220" t="s">
        <v>42</v>
      </c>
      <c r="APE14" s="220"/>
      <c r="APF14" s="220"/>
      <c r="APG14" s="220"/>
      <c r="APH14" s="102"/>
      <c r="API14" s="102"/>
      <c r="APJ14" s="219" t="s">
        <v>43</v>
      </c>
      <c r="APK14" s="219"/>
      <c r="APL14" s="219"/>
      <c r="APM14" s="219"/>
      <c r="APN14" s="82"/>
      <c r="APO14" s="82"/>
      <c r="APP14" s="220" t="s">
        <v>44</v>
      </c>
      <c r="APQ14" s="220"/>
      <c r="APR14" s="220"/>
      <c r="APS14" s="220"/>
      <c r="APT14" s="102"/>
      <c r="APU14" s="102"/>
      <c r="APV14" s="219" t="s">
        <v>45</v>
      </c>
      <c r="APW14" s="219"/>
      <c r="APX14" s="219"/>
      <c r="APY14" s="219"/>
      <c r="APZ14" s="82"/>
      <c r="AQA14" s="82"/>
      <c r="AQB14" s="220" t="s">
        <v>46</v>
      </c>
      <c r="AQC14" s="220"/>
      <c r="AQD14" s="220"/>
      <c r="AQE14" s="220"/>
      <c r="AQF14" s="102"/>
      <c r="AQG14" s="102"/>
      <c r="AQH14" s="219" t="s">
        <v>47</v>
      </c>
      <c r="AQI14" s="219"/>
      <c r="AQJ14" s="219"/>
      <c r="AQK14" s="219"/>
      <c r="AQL14" s="82"/>
      <c r="AQM14" s="82"/>
      <c r="AQN14" s="220" t="s">
        <v>48</v>
      </c>
      <c r="AQO14" s="220"/>
      <c r="AQP14" s="220"/>
      <c r="AQQ14" s="220"/>
      <c r="AQR14" s="102"/>
      <c r="AQS14" s="102"/>
      <c r="AQT14" s="219" t="s">
        <v>49</v>
      </c>
      <c r="AQU14" s="219"/>
      <c r="AQV14" s="219"/>
      <c r="AQW14" s="219"/>
      <c r="AQX14" s="82"/>
      <c r="AQY14" s="82"/>
      <c r="AQZ14" s="82"/>
      <c r="ARA14" s="83"/>
      <c r="ARB14" s="81"/>
      <c r="ARC14" s="82"/>
      <c r="ARD14" s="82"/>
      <c r="ARE14" s="82"/>
      <c r="ARF14" s="219" t="s">
        <v>41</v>
      </c>
      <c r="ARG14" s="219"/>
      <c r="ARH14" s="219"/>
      <c r="ARI14" s="219"/>
      <c r="ARJ14" s="82"/>
      <c r="ARK14" s="82"/>
      <c r="ARL14" s="220" t="s">
        <v>42</v>
      </c>
      <c r="ARM14" s="220"/>
      <c r="ARN14" s="220"/>
      <c r="ARO14" s="220"/>
      <c r="ARP14" s="102"/>
      <c r="ARQ14" s="102"/>
      <c r="ARR14" s="219" t="s">
        <v>43</v>
      </c>
      <c r="ARS14" s="219"/>
      <c r="ART14" s="219"/>
      <c r="ARU14" s="219"/>
      <c r="ARV14" s="82"/>
      <c r="ARW14" s="82"/>
      <c r="ARX14" s="220" t="s">
        <v>44</v>
      </c>
      <c r="ARY14" s="220"/>
      <c r="ARZ14" s="220"/>
      <c r="ASA14" s="220"/>
      <c r="ASB14" s="102"/>
      <c r="ASC14" s="102"/>
      <c r="ASD14" s="219" t="s">
        <v>45</v>
      </c>
      <c r="ASE14" s="219"/>
      <c r="ASF14" s="219"/>
      <c r="ASG14" s="219"/>
      <c r="ASH14" s="82"/>
      <c r="ASI14" s="82"/>
      <c r="ASJ14" s="220" t="s">
        <v>46</v>
      </c>
      <c r="ASK14" s="220"/>
      <c r="ASL14" s="220"/>
      <c r="ASM14" s="220"/>
      <c r="ASN14" s="102"/>
      <c r="ASO14" s="102"/>
      <c r="ASP14" s="219" t="s">
        <v>47</v>
      </c>
      <c r="ASQ14" s="219"/>
      <c r="ASR14" s="219"/>
      <c r="ASS14" s="219"/>
      <c r="AST14" s="82"/>
      <c r="ASU14" s="82"/>
      <c r="ASV14" s="220" t="s">
        <v>48</v>
      </c>
      <c r="ASW14" s="220"/>
      <c r="ASX14" s="220"/>
      <c r="ASY14" s="220"/>
      <c r="ASZ14" s="102"/>
      <c r="ATA14" s="102"/>
      <c r="ATB14" s="219" t="s">
        <v>49</v>
      </c>
      <c r="ATC14" s="219"/>
      <c r="ATD14" s="219"/>
      <c r="ATE14" s="219"/>
      <c r="ATF14" s="82"/>
      <c r="ATG14" s="82"/>
      <c r="ATH14" s="82"/>
      <c r="ATI14" s="83"/>
      <c r="ATJ14" s="81"/>
      <c r="ATK14" s="82"/>
      <c r="ATL14" s="82"/>
      <c r="ATM14" s="82"/>
      <c r="ATN14" s="219" t="s">
        <v>41</v>
      </c>
      <c r="ATO14" s="219"/>
      <c r="ATP14" s="219"/>
      <c r="ATQ14" s="219"/>
      <c r="ATR14" s="82"/>
      <c r="ATS14" s="82"/>
      <c r="ATT14" s="220" t="s">
        <v>42</v>
      </c>
      <c r="ATU14" s="220"/>
      <c r="ATV14" s="220"/>
      <c r="ATW14" s="220"/>
      <c r="ATX14" s="102"/>
      <c r="ATY14" s="102"/>
      <c r="ATZ14" s="219" t="s">
        <v>43</v>
      </c>
      <c r="AUA14" s="219"/>
      <c r="AUB14" s="219"/>
      <c r="AUC14" s="219"/>
      <c r="AUD14" s="82"/>
      <c r="AUE14" s="82"/>
      <c r="AUF14" s="220" t="s">
        <v>44</v>
      </c>
      <c r="AUG14" s="220"/>
      <c r="AUH14" s="220"/>
      <c r="AUI14" s="220"/>
      <c r="AUJ14" s="102"/>
      <c r="AUK14" s="102"/>
      <c r="AUL14" s="219" t="s">
        <v>45</v>
      </c>
      <c r="AUM14" s="219"/>
      <c r="AUN14" s="219"/>
      <c r="AUO14" s="219"/>
      <c r="AUP14" s="82"/>
      <c r="AUQ14" s="82"/>
      <c r="AUR14" s="220" t="s">
        <v>46</v>
      </c>
      <c r="AUS14" s="220"/>
      <c r="AUT14" s="220"/>
      <c r="AUU14" s="220"/>
      <c r="AUV14" s="102"/>
      <c r="AUW14" s="102"/>
      <c r="AUX14" s="219" t="s">
        <v>47</v>
      </c>
      <c r="AUY14" s="219"/>
      <c r="AUZ14" s="219"/>
      <c r="AVA14" s="219"/>
      <c r="AVB14" s="82"/>
      <c r="AVC14" s="82"/>
      <c r="AVD14" s="220" t="s">
        <v>48</v>
      </c>
      <c r="AVE14" s="220"/>
      <c r="AVF14" s="220"/>
      <c r="AVG14" s="220"/>
      <c r="AVH14" s="102"/>
      <c r="AVI14" s="102"/>
      <c r="AVJ14" s="219" t="s">
        <v>49</v>
      </c>
      <c r="AVK14" s="219"/>
      <c r="AVL14" s="219"/>
      <c r="AVM14" s="219"/>
      <c r="AVN14" s="82"/>
      <c r="AVO14" s="82"/>
      <c r="AVP14" s="82"/>
      <c r="AVQ14" s="83"/>
      <c r="AVR14" s="81"/>
      <c r="AVS14" s="82"/>
      <c r="AVT14" s="82"/>
      <c r="AVU14" s="82"/>
      <c r="AVV14" s="219" t="s">
        <v>41</v>
      </c>
      <c r="AVW14" s="219"/>
      <c r="AVX14" s="219"/>
      <c r="AVY14" s="219"/>
      <c r="AVZ14" s="82"/>
      <c r="AWA14" s="82"/>
      <c r="AWB14" s="220" t="s">
        <v>42</v>
      </c>
      <c r="AWC14" s="220"/>
      <c r="AWD14" s="220"/>
      <c r="AWE14" s="220"/>
      <c r="AWF14" s="102"/>
      <c r="AWG14" s="102"/>
      <c r="AWH14" s="219" t="s">
        <v>43</v>
      </c>
      <c r="AWI14" s="219"/>
      <c r="AWJ14" s="219"/>
      <c r="AWK14" s="219"/>
      <c r="AWL14" s="82"/>
      <c r="AWM14" s="82"/>
      <c r="AWN14" s="220" t="s">
        <v>44</v>
      </c>
      <c r="AWO14" s="220"/>
      <c r="AWP14" s="220"/>
      <c r="AWQ14" s="220"/>
      <c r="AWR14" s="102"/>
      <c r="AWS14" s="102"/>
      <c r="AWT14" s="219" t="s">
        <v>45</v>
      </c>
      <c r="AWU14" s="219"/>
      <c r="AWV14" s="219"/>
      <c r="AWW14" s="219"/>
      <c r="AWX14" s="82"/>
      <c r="AWY14" s="82"/>
      <c r="AWZ14" s="220" t="s">
        <v>46</v>
      </c>
      <c r="AXA14" s="220"/>
      <c r="AXB14" s="220"/>
      <c r="AXC14" s="220"/>
      <c r="AXD14" s="102"/>
      <c r="AXE14" s="102"/>
      <c r="AXF14" s="219" t="s">
        <v>47</v>
      </c>
      <c r="AXG14" s="219"/>
      <c r="AXH14" s="219"/>
      <c r="AXI14" s="219"/>
      <c r="AXJ14" s="82"/>
      <c r="AXK14" s="82"/>
      <c r="AXL14" s="220" t="s">
        <v>48</v>
      </c>
      <c r="AXM14" s="220"/>
      <c r="AXN14" s="220"/>
      <c r="AXO14" s="220"/>
      <c r="AXP14" s="102"/>
      <c r="AXQ14" s="102"/>
      <c r="AXR14" s="219" t="s">
        <v>49</v>
      </c>
      <c r="AXS14" s="219"/>
      <c r="AXT14" s="219"/>
      <c r="AXU14" s="219"/>
      <c r="AXV14" s="82"/>
      <c r="AXW14" s="82"/>
      <c r="AXX14" s="82"/>
      <c r="AXY14" s="83"/>
      <c r="AXZ14" s="81"/>
      <c r="AYA14" s="82"/>
      <c r="AYB14" s="82"/>
      <c r="AYC14" s="82"/>
      <c r="AYD14" s="219" t="s">
        <v>41</v>
      </c>
      <c r="AYE14" s="219"/>
      <c r="AYF14" s="219"/>
      <c r="AYG14" s="219"/>
      <c r="AYH14" s="82"/>
      <c r="AYI14" s="82"/>
      <c r="AYJ14" s="220" t="s">
        <v>42</v>
      </c>
      <c r="AYK14" s="220"/>
      <c r="AYL14" s="220"/>
      <c r="AYM14" s="220"/>
      <c r="AYN14" s="102"/>
      <c r="AYO14" s="102"/>
      <c r="AYP14" s="219" t="s">
        <v>43</v>
      </c>
      <c r="AYQ14" s="219"/>
      <c r="AYR14" s="219"/>
      <c r="AYS14" s="219"/>
      <c r="AYT14" s="82"/>
      <c r="AYU14" s="82"/>
      <c r="AYV14" s="220" t="s">
        <v>44</v>
      </c>
      <c r="AYW14" s="220"/>
      <c r="AYX14" s="220"/>
      <c r="AYY14" s="220"/>
      <c r="AYZ14" s="102"/>
      <c r="AZA14" s="102"/>
      <c r="AZB14" s="219" t="s">
        <v>45</v>
      </c>
      <c r="AZC14" s="219"/>
      <c r="AZD14" s="219"/>
      <c r="AZE14" s="219"/>
      <c r="AZF14" s="82"/>
      <c r="AZG14" s="82"/>
      <c r="AZH14" s="220" t="s">
        <v>46</v>
      </c>
      <c r="AZI14" s="220"/>
      <c r="AZJ14" s="220"/>
      <c r="AZK14" s="220"/>
      <c r="AZL14" s="102"/>
      <c r="AZM14" s="102"/>
      <c r="AZN14" s="219" t="s">
        <v>47</v>
      </c>
      <c r="AZO14" s="219"/>
      <c r="AZP14" s="219"/>
      <c r="AZQ14" s="219"/>
      <c r="AZR14" s="82"/>
      <c r="AZS14" s="82"/>
      <c r="AZT14" s="220" t="s">
        <v>48</v>
      </c>
      <c r="AZU14" s="220"/>
      <c r="AZV14" s="220"/>
      <c r="AZW14" s="220"/>
      <c r="AZX14" s="102"/>
      <c r="AZY14" s="102"/>
      <c r="AZZ14" s="219" t="s">
        <v>49</v>
      </c>
      <c r="BAA14" s="219"/>
      <c r="BAB14" s="219"/>
      <c r="BAC14" s="219"/>
      <c r="BAD14" s="82"/>
      <c r="BAE14" s="82"/>
      <c r="BAF14" s="82"/>
      <c r="BAG14" s="83"/>
      <c r="BAH14" s="81"/>
      <c r="BAI14" s="82"/>
      <c r="BAJ14" s="82"/>
      <c r="BAK14" s="82"/>
      <c r="BAL14" s="219" t="s">
        <v>41</v>
      </c>
      <c r="BAM14" s="219"/>
      <c r="BAN14" s="219"/>
      <c r="BAO14" s="219"/>
      <c r="BAP14" s="82"/>
      <c r="BAQ14" s="82"/>
      <c r="BAR14" s="220" t="s">
        <v>42</v>
      </c>
      <c r="BAS14" s="220"/>
      <c r="BAT14" s="220"/>
      <c r="BAU14" s="220"/>
      <c r="BAV14" s="102"/>
      <c r="BAW14" s="102"/>
      <c r="BAX14" s="219" t="s">
        <v>43</v>
      </c>
      <c r="BAY14" s="219"/>
      <c r="BAZ14" s="219"/>
      <c r="BBA14" s="219"/>
      <c r="BBB14" s="82"/>
      <c r="BBC14" s="82"/>
      <c r="BBD14" s="220" t="s">
        <v>44</v>
      </c>
      <c r="BBE14" s="220"/>
      <c r="BBF14" s="220"/>
      <c r="BBG14" s="220"/>
      <c r="BBH14" s="102"/>
      <c r="BBI14" s="102"/>
      <c r="BBJ14" s="219" t="s">
        <v>45</v>
      </c>
      <c r="BBK14" s="219"/>
      <c r="BBL14" s="219"/>
      <c r="BBM14" s="219"/>
      <c r="BBN14" s="82"/>
      <c r="BBO14" s="82"/>
      <c r="BBP14" s="220" t="s">
        <v>46</v>
      </c>
      <c r="BBQ14" s="220"/>
      <c r="BBR14" s="220"/>
      <c r="BBS14" s="220"/>
      <c r="BBT14" s="102"/>
      <c r="BBU14" s="102"/>
      <c r="BBV14" s="219" t="s">
        <v>47</v>
      </c>
      <c r="BBW14" s="219"/>
      <c r="BBX14" s="219"/>
      <c r="BBY14" s="219"/>
      <c r="BBZ14" s="82"/>
      <c r="BCA14" s="82"/>
      <c r="BCB14" s="220" t="s">
        <v>48</v>
      </c>
      <c r="BCC14" s="220"/>
      <c r="BCD14" s="220"/>
      <c r="BCE14" s="220"/>
      <c r="BCF14" s="102"/>
      <c r="BCG14" s="102"/>
      <c r="BCH14" s="219" t="s">
        <v>49</v>
      </c>
      <c r="BCI14" s="219"/>
      <c r="BCJ14" s="219"/>
      <c r="BCK14" s="219"/>
      <c r="BCL14" s="82"/>
      <c r="BCM14" s="82"/>
      <c r="BCN14" s="82"/>
      <c r="BCO14" s="83"/>
      <c r="BCP14" s="81"/>
      <c r="BCQ14" s="82"/>
      <c r="BCR14" s="82"/>
      <c r="BCS14" s="82"/>
      <c r="BCT14" s="219" t="s">
        <v>41</v>
      </c>
      <c r="BCU14" s="219"/>
      <c r="BCV14" s="219"/>
      <c r="BCW14" s="219"/>
      <c r="BCX14" s="82"/>
      <c r="BCY14" s="82"/>
      <c r="BCZ14" s="220" t="s">
        <v>42</v>
      </c>
      <c r="BDA14" s="220"/>
      <c r="BDB14" s="220"/>
      <c r="BDC14" s="220"/>
      <c r="BDD14" s="102"/>
      <c r="BDE14" s="102"/>
      <c r="BDF14" s="219" t="s">
        <v>43</v>
      </c>
      <c r="BDG14" s="219"/>
      <c r="BDH14" s="219"/>
      <c r="BDI14" s="219"/>
      <c r="BDJ14" s="82"/>
      <c r="BDK14" s="82"/>
      <c r="BDL14" s="220" t="s">
        <v>44</v>
      </c>
      <c r="BDM14" s="220"/>
      <c r="BDN14" s="220"/>
      <c r="BDO14" s="220"/>
      <c r="BDP14" s="102"/>
      <c r="BDQ14" s="102"/>
      <c r="BDR14" s="219" t="s">
        <v>45</v>
      </c>
      <c r="BDS14" s="219"/>
      <c r="BDT14" s="219"/>
      <c r="BDU14" s="219"/>
      <c r="BDV14" s="82"/>
      <c r="BDW14" s="82"/>
      <c r="BDX14" s="220" t="s">
        <v>46</v>
      </c>
      <c r="BDY14" s="220"/>
      <c r="BDZ14" s="220"/>
      <c r="BEA14" s="220"/>
      <c r="BEB14" s="102"/>
      <c r="BEC14" s="102"/>
      <c r="BED14" s="219" t="s">
        <v>47</v>
      </c>
      <c r="BEE14" s="219"/>
      <c r="BEF14" s="219"/>
      <c r="BEG14" s="219"/>
      <c r="BEH14" s="82"/>
      <c r="BEI14" s="82"/>
      <c r="BEJ14" s="220" t="s">
        <v>48</v>
      </c>
      <c r="BEK14" s="220"/>
      <c r="BEL14" s="220"/>
      <c r="BEM14" s="220"/>
      <c r="BEN14" s="102"/>
      <c r="BEO14" s="102"/>
      <c r="BEP14" s="219" t="s">
        <v>49</v>
      </c>
      <c r="BEQ14" s="219"/>
      <c r="BER14" s="219"/>
      <c r="BES14" s="219"/>
      <c r="BET14" s="82"/>
      <c r="BEU14" s="82"/>
      <c r="BEV14" s="82"/>
      <c r="BEW14" s="83"/>
      <c r="BEX14" s="81"/>
      <c r="BEY14" s="82"/>
      <c r="BEZ14" s="82"/>
      <c r="BFA14" s="82"/>
      <c r="BFB14" s="219" t="s">
        <v>41</v>
      </c>
      <c r="BFC14" s="219"/>
      <c r="BFD14" s="219"/>
      <c r="BFE14" s="219"/>
      <c r="BFF14" s="82"/>
      <c r="BFG14" s="82"/>
      <c r="BFH14" s="220" t="s">
        <v>42</v>
      </c>
      <c r="BFI14" s="220"/>
      <c r="BFJ14" s="220"/>
      <c r="BFK14" s="220"/>
      <c r="BFL14" s="102"/>
      <c r="BFM14" s="102"/>
      <c r="BFN14" s="219" t="s">
        <v>43</v>
      </c>
      <c r="BFO14" s="219"/>
      <c r="BFP14" s="219"/>
      <c r="BFQ14" s="219"/>
      <c r="BFR14" s="82"/>
      <c r="BFS14" s="82"/>
      <c r="BFT14" s="220" t="s">
        <v>44</v>
      </c>
      <c r="BFU14" s="220"/>
      <c r="BFV14" s="220"/>
      <c r="BFW14" s="220"/>
      <c r="BFX14" s="102"/>
      <c r="BFY14" s="102"/>
      <c r="BFZ14" s="219" t="s">
        <v>45</v>
      </c>
      <c r="BGA14" s="219"/>
      <c r="BGB14" s="219"/>
      <c r="BGC14" s="219"/>
      <c r="BGD14" s="82"/>
      <c r="BGE14" s="82"/>
      <c r="BGF14" s="220" t="s">
        <v>46</v>
      </c>
      <c r="BGG14" s="220"/>
      <c r="BGH14" s="220"/>
      <c r="BGI14" s="220"/>
      <c r="BGJ14" s="102"/>
      <c r="BGK14" s="102"/>
      <c r="BGL14" s="219" t="s">
        <v>47</v>
      </c>
      <c r="BGM14" s="219"/>
      <c r="BGN14" s="219"/>
      <c r="BGO14" s="219"/>
      <c r="BGP14" s="82"/>
      <c r="BGQ14" s="82"/>
      <c r="BGR14" s="220" t="s">
        <v>48</v>
      </c>
      <c r="BGS14" s="220"/>
      <c r="BGT14" s="220"/>
      <c r="BGU14" s="220"/>
      <c r="BGV14" s="102"/>
      <c r="BGW14" s="102"/>
      <c r="BGX14" s="219" t="s">
        <v>49</v>
      </c>
      <c r="BGY14" s="219"/>
      <c r="BGZ14" s="219"/>
      <c r="BHA14" s="219"/>
      <c r="BHB14" s="82"/>
      <c r="BHC14" s="82"/>
      <c r="BHD14" s="82"/>
      <c r="BHE14" s="83"/>
      <c r="BHF14" s="81"/>
      <c r="BHG14" s="82"/>
      <c r="BHH14" s="82"/>
      <c r="BHI14" s="82"/>
      <c r="BHJ14" s="219" t="s">
        <v>41</v>
      </c>
      <c r="BHK14" s="219"/>
      <c r="BHL14" s="219"/>
      <c r="BHM14" s="219"/>
      <c r="BHN14" s="82"/>
      <c r="BHO14" s="82"/>
      <c r="BHP14" s="220" t="s">
        <v>42</v>
      </c>
      <c r="BHQ14" s="220"/>
      <c r="BHR14" s="220"/>
      <c r="BHS14" s="220"/>
      <c r="BHT14" s="102"/>
      <c r="BHU14" s="102"/>
      <c r="BHV14" s="219" t="s">
        <v>43</v>
      </c>
      <c r="BHW14" s="219"/>
      <c r="BHX14" s="219"/>
      <c r="BHY14" s="219"/>
      <c r="BHZ14" s="82"/>
      <c r="BIA14" s="82"/>
      <c r="BIB14" s="220" t="s">
        <v>44</v>
      </c>
      <c r="BIC14" s="220"/>
      <c r="BID14" s="220"/>
      <c r="BIE14" s="220"/>
      <c r="BIF14" s="102"/>
      <c r="BIG14" s="102"/>
      <c r="BIH14" s="219" t="s">
        <v>45</v>
      </c>
      <c r="BII14" s="219"/>
      <c r="BIJ14" s="219"/>
      <c r="BIK14" s="219"/>
      <c r="BIL14" s="82"/>
      <c r="BIM14" s="82"/>
      <c r="BIN14" s="220" t="s">
        <v>46</v>
      </c>
      <c r="BIO14" s="220"/>
      <c r="BIP14" s="220"/>
      <c r="BIQ14" s="220"/>
      <c r="BIR14" s="102"/>
      <c r="BIS14" s="102"/>
      <c r="BIT14" s="219" t="s">
        <v>47</v>
      </c>
      <c r="BIU14" s="219"/>
      <c r="BIV14" s="219"/>
      <c r="BIW14" s="219"/>
      <c r="BIX14" s="82"/>
      <c r="BIY14" s="82"/>
      <c r="BIZ14" s="220" t="s">
        <v>48</v>
      </c>
      <c r="BJA14" s="220"/>
      <c r="BJB14" s="220"/>
      <c r="BJC14" s="220"/>
      <c r="BJD14" s="102"/>
      <c r="BJE14" s="102"/>
      <c r="BJF14" s="219" t="s">
        <v>49</v>
      </c>
      <c r="BJG14" s="219"/>
      <c r="BJH14" s="219"/>
      <c r="BJI14" s="219"/>
      <c r="BJJ14" s="82"/>
      <c r="BJK14" s="82"/>
      <c r="BJL14" s="82"/>
      <c r="BJM14" s="83"/>
    </row>
    <row r="15" spans="1:1625" ht="20.100000000000001" customHeight="1" x14ac:dyDescent="0.25">
      <c r="A15" s="78" t="s">
        <v>50</v>
      </c>
      <c r="B15" s="51" t="str">
        <f>IF(LEN(C15)=0,"",C15)</f>
        <v xml:space="preserve">Absences - Imprévus </v>
      </c>
      <c r="C15" s="228" t="s">
        <v>95</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53"/>
      <c r="BHG15" s="154"/>
      <c r="BHH15" s="154"/>
      <c r="BHI15" s="154"/>
      <c r="BHJ15" s="154"/>
      <c r="BHK15" s="155"/>
      <c r="BHL15" s="154"/>
      <c r="BHM15" s="154"/>
      <c r="BHN15" s="154"/>
      <c r="BHO15" s="154"/>
      <c r="BHP15" s="154"/>
      <c r="BHQ15" s="156"/>
      <c r="BHR15" s="154"/>
      <c r="BHS15" s="154"/>
      <c r="BHT15" s="154"/>
      <c r="BHU15" s="154"/>
      <c r="BHV15" s="154"/>
      <c r="BHW15" s="157"/>
      <c r="BHX15" s="154"/>
      <c r="BHY15" s="154"/>
      <c r="BHZ15" s="154"/>
      <c r="BIA15" s="154"/>
      <c r="BIB15" s="154"/>
      <c r="BIC15" s="156"/>
      <c r="BID15" s="154"/>
      <c r="BIE15" s="154"/>
      <c r="BIF15" s="154"/>
      <c r="BIG15" s="154"/>
      <c r="BIH15" s="154"/>
      <c r="BII15" s="157"/>
      <c r="BIJ15" s="154"/>
      <c r="BIK15" s="154"/>
      <c r="BIL15" s="154"/>
      <c r="BIM15" s="154"/>
      <c r="BIN15" s="154"/>
      <c r="BIO15" s="156"/>
      <c r="BIP15" s="154"/>
      <c r="BIQ15" s="154"/>
      <c r="BIR15" s="154"/>
      <c r="BIS15" s="154"/>
      <c r="BIT15" s="154"/>
      <c r="BIU15" s="157"/>
      <c r="BIV15" s="154"/>
      <c r="BIW15" s="154"/>
      <c r="BIX15" s="154"/>
      <c r="BIY15" s="154"/>
      <c r="BIZ15" s="154"/>
      <c r="BJA15" s="156"/>
      <c r="BJB15" s="154"/>
      <c r="BJC15" s="154"/>
      <c r="BJD15" s="154"/>
      <c r="BJE15" s="154"/>
      <c r="BJF15" s="154"/>
      <c r="BJG15" s="157"/>
      <c r="BJH15" s="154"/>
      <c r="BJI15" s="154"/>
      <c r="BJJ15" s="154"/>
      <c r="BJK15" s="154"/>
      <c r="BJL15" s="154"/>
      <c r="BJM15" s="158"/>
    </row>
    <row r="16" spans="1:1625" ht="20.100000000000001" customHeight="1" x14ac:dyDescent="0.25">
      <c r="A16" s="78" t="s">
        <v>51</v>
      </c>
      <c r="B16" s="51" t="str">
        <f>IF(LEN(C17)=0,"",C17)</f>
        <v>Analyse ‑ Cahier des charges</v>
      </c>
      <c r="C16" s="225"/>
      <c r="D16" s="120" t="str">
        <f t="shared" ref="D16:D79" si="0">setValueToTime(E16)</f>
        <v/>
      </c>
      <c r="E16" s="30">
        <v>0</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row>
    <row r="17" spans="1:1625" ht="20.100000000000001" customHeight="1" x14ac:dyDescent="0.25">
      <c r="A17" s="78" t="s">
        <v>50</v>
      </c>
      <c r="B17" s="51" t="str">
        <f>IF(LEN(C19)=0,"",C19)</f>
        <v xml:space="preserve">Analyse - Mise en place de la méthode de la gestion du projet </v>
      </c>
      <c r="C17" s="223" t="s">
        <v>96</v>
      </c>
      <c r="D17" s="119" t="str">
        <f t="shared" si="0"/>
        <v xml:space="preserve"> 50 min</v>
      </c>
      <c r="E17" s="26">
        <v>10</v>
      </c>
      <c r="F17" s="159"/>
      <c r="G17" s="160"/>
      <c r="H17" s="160"/>
      <c r="I17" s="160"/>
      <c r="J17" s="160"/>
      <c r="K17" s="161"/>
      <c r="L17" s="174"/>
      <c r="M17" s="174"/>
      <c r="N17" s="174"/>
      <c r="O17" s="174"/>
      <c r="P17" s="174"/>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76"/>
      <c r="BO17" s="174"/>
      <c r="BP17" s="174"/>
      <c r="BQ17" s="174"/>
      <c r="BR17" s="174"/>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59"/>
      <c r="BHG17" s="160"/>
      <c r="BHH17" s="160"/>
      <c r="BHI17" s="160"/>
      <c r="BHJ17" s="160"/>
      <c r="BHK17" s="161"/>
      <c r="BHL17" s="160"/>
      <c r="BHM17" s="160"/>
      <c r="BHN17" s="160"/>
      <c r="BHO17" s="160"/>
      <c r="BHP17" s="160"/>
      <c r="BHQ17" s="162"/>
      <c r="BHR17" s="160"/>
      <c r="BHS17" s="160"/>
      <c r="BHT17" s="160"/>
      <c r="BHU17" s="160"/>
      <c r="BHV17" s="160"/>
      <c r="BHW17" s="163"/>
      <c r="BHX17" s="160"/>
      <c r="BHY17" s="160"/>
      <c r="BHZ17" s="160"/>
      <c r="BIA17" s="160"/>
      <c r="BIB17" s="160"/>
      <c r="BIC17" s="162"/>
      <c r="BID17" s="160"/>
      <c r="BIE17" s="160"/>
      <c r="BIF17" s="160"/>
      <c r="BIG17" s="160"/>
      <c r="BIH17" s="160"/>
      <c r="BII17" s="163"/>
      <c r="BIJ17" s="160"/>
      <c r="BIK17" s="160"/>
      <c r="BIL17" s="160"/>
      <c r="BIM17" s="160"/>
      <c r="BIN17" s="160"/>
      <c r="BIO17" s="162"/>
      <c r="BIP17" s="160"/>
      <c r="BIQ17" s="160"/>
      <c r="BIR17" s="160"/>
      <c r="BIS17" s="160"/>
      <c r="BIT17" s="160"/>
      <c r="BIU17" s="163"/>
      <c r="BIV17" s="160"/>
      <c r="BIW17" s="160"/>
      <c r="BIX17" s="160"/>
      <c r="BIY17" s="160"/>
      <c r="BIZ17" s="160"/>
      <c r="BJA17" s="162"/>
      <c r="BJB17" s="160"/>
      <c r="BJC17" s="160"/>
      <c r="BJD17" s="160"/>
      <c r="BJE17" s="160"/>
      <c r="BJF17" s="160"/>
      <c r="BJG17" s="163"/>
      <c r="BJH17" s="160"/>
      <c r="BJI17" s="160"/>
      <c r="BJJ17" s="160"/>
      <c r="BJK17" s="160"/>
      <c r="BJL17" s="160"/>
      <c r="BJM17" s="164"/>
    </row>
    <row r="18" spans="1:1625" ht="20.100000000000001" customHeight="1" x14ac:dyDescent="0.3">
      <c r="A18" s="78" t="s">
        <v>51</v>
      </c>
      <c r="B18" s="51" t="str">
        <f>IF(LEN(C21)=0,"",C21)</f>
        <v>Analyse - Planification initiale</v>
      </c>
      <c r="C18" s="225"/>
      <c r="D18" s="121" t="str">
        <f t="shared" si="0"/>
        <v>1h 15 min</v>
      </c>
      <c r="E18" s="30">
        <v>15</v>
      </c>
      <c r="F18" s="187"/>
      <c r="G18" s="188"/>
      <c r="H18" s="188"/>
      <c r="I18" s="188"/>
      <c r="J18" s="188"/>
      <c r="K18" s="189"/>
      <c r="L18" s="194"/>
      <c r="M18" s="194"/>
      <c r="N18" s="194"/>
      <c r="O18" s="194"/>
      <c r="P18" s="194"/>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93"/>
      <c r="BO18" s="194"/>
      <c r="BP18" s="194"/>
      <c r="BQ18" s="194"/>
      <c r="BR18" s="194"/>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94"/>
      <c r="EM18" s="197"/>
      <c r="EN18" s="194"/>
      <c r="EO18" s="194"/>
      <c r="EP18" s="194"/>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row>
    <row r="19" spans="1:1625" ht="20.100000000000001" customHeight="1" x14ac:dyDescent="0.25">
      <c r="A19" s="78" t="s">
        <v>50</v>
      </c>
      <c r="B19" s="51" t="str">
        <f>IF(LEN(C23)=0,"",C23)</f>
        <v xml:space="preserve">Analyse - Recherche </v>
      </c>
      <c r="C19" s="223" t="s">
        <v>80</v>
      </c>
      <c r="D19" s="119" t="str">
        <f t="shared" si="0"/>
        <v xml:space="preserve"> 25 min</v>
      </c>
      <c r="E19" s="34">
        <v>5</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72"/>
      <c r="FC19" s="172"/>
      <c r="FD19" s="172"/>
      <c r="FE19" s="175"/>
      <c r="FF19" s="172"/>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65"/>
      <c r="BHG19" s="166"/>
      <c r="BHH19" s="166"/>
      <c r="BHI19" s="166"/>
      <c r="BHJ19" s="166"/>
      <c r="BHK19" s="167"/>
      <c r="BHL19" s="166"/>
      <c r="BHM19" s="166"/>
      <c r="BHN19" s="166"/>
      <c r="BHO19" s="166"/>
      <c r="BHP19" s="166"/>
      <c r="BHQ19" s="168"/>
      <c r="BHR19" s="166"/>
      <c r="BHS19" s="166"/>
      <c r="BHT19" s="166"/>
      <c r="BHU19" s="166"/>
      <c r="BHV19" s="166"/>
      <c r="BHW19" s="169"/>
      <c r="BHX19" s="166"/>
      <c r="BHY19" s="166"/>
      <c r="BHZ19" s="166"/>
      <c r="BIA19" s="166"/>
      <c r="BIB19" s="166"/>
      <c r="BIC19" s="168"/>
      <c r="BID19" s="166"/>
      <c r="BIE19" s="166"/>
      <c r="BIF19" s="166"/>
      <c r="BIG19" s="166"/>
      <c r="BIH19" s="166"/>
      <c r="BII19" s="169"/>
      <c r="BIJ19" s="166"/>
      <c r="BIK19" s="166"/>
      <c r="BIL19" s="166"/>
      <c r="BIM19" s="166"/>
      <c r="BIN19" s="166"/>
      <c r="BIO19" s="168"/>
      <c r="BIP19" s="166"/>
      <c r="BIQ19" s="166"/>
      <c r="BIR19" s="166"/>
      <c r="BIS19" s="166"/>
      <c r="BIT19" s="166"/>
      <c r="BIU19" s="169"/>
      <c r="BIV19" s="166"/>
      <c r="BIW19" s="166"/>
      <c r="BIX19" s="166"/>
      <c r="BIY19" s="166"/>
      <c r="BIZ19" s="166"/>
      <c r="BJA19" s="168"/>
      <c r="BJB19" s="166"/>
      <c r="BJC19" s="166"/>
      <c r="BJD19" s="166"/>
      <c r="BJE19" s="166"/>
      <c r="BJF19" s="166"/>
      <c r="BJG19" s="169"/>
      <c r="BJH19" s="166"/>
      <c r="BJI19" s="166"/>
      <c r="BJJ19" s="166"/>
      <c r="BJK19" s="166"/>
      <c r="BJL19" s="166"/>
      <c r="BJM19" s="170"/>
    </row>
    <row r="20" spans="1:1625" ht="20.100000000000001" customHeight="1" x14ac:dyDescent="0.25">
      <c r="A20" s="78" t="s">
        <v>51</v>
      </c>
      <c r="B20" s="51" t="str">
        <f>IF(LEN(C25)=0,"",C25)</f>
        <v>Analyse ‑ Composants</v>
      </c>
      <c r="C20" s="225"/>
      <c r="D20" s="120" t="str">
        <f t="shared" si="0"/>
        <v xml:space="preserve"> 50 min</v>
      </c>
      <c r="E20" s="22">
        <v>10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99"/>
      <c r="GX20" s="199"/>
      <c r="GY20" s="199"/>
      <c r="GZ20" s="199"/>
      <c r="HA20" s="198"/>
      <c r="HB20" s="199"/>
      <c r="HC20" s="199"/>
      <c r="HD20" s="199"/>
      <c r="HE20" s="199"/>
      <c r="HF20" s="199"/>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row>
    <row r="21" spans="1:1625" ht="20.100000000000001" customHeight="1" x14ac:dyDescent="0.25">
      <c r="A21" s="78" t="s">
        <v>50</v>
      </c>
      <c r="B21" s="51" t="str">
        <f>IF(LEN(C27)=0,"",C27)</f>
        <v>Analyse ‑ Tests</v>
      </c>
      <c r="C21" s="223" t="s">
        <v>52</v>
      </c>
      <c r="D21" s="119" t="str">
        <f t="shared" si="0"/>
        <v>5h 35 min</v>
      </c>
      <c r="E21" s="26">
        <v>67</v>
      </c>
      <c r="F21" s="159"/>
      <c r="G21" s="160"/>
      <c r="H21" s="160"/>
      <c r="I21" s="160"/>
      <c r="J21" s="160"/>
      <c r="K21" s="161"/>
      <c r="L21" s="160"/>
      <c r="M21" s="160"/>
      <c r="N21" s="160"/>
      <c r="O21" s="160"/>
      <c r="P21" s="160"/>
      <c r="Q21" s="162"/>
      <c r="R21" s="160"/>
      <c r="S21" s="160"/>
      <c r="T21" s="174"/>
      <c r="U21" s="174"/>
      <c r="V21" s="174"/>
      <c r="W21" s="180"/>
      <c r="X21" s="174"/>
      <c r="Y21" s="174"/>
      <c r="Z21" s="174"/>
      <c r="AA21" s="174"/>
      <c r="AB21" s="174"/>
      <c r="AC21" s="179"/>
      <c r="AD21" s="174"/>
      <c r="AE21" s="174"/>
      <c r="AF21" s="174"/>
      <c r="AG21" s="174"/>
      <c r="AH21" s="174"/>
      <c r="AI21" s="180"/>
      <c r="AJ21" s="174"/>
      <c r="AK21" s="174"/>
      <c r="AL21" s="174"/>
      <c r="AM21" s="174"/>
      <c r="AN21" s="174"/>
      <c r="AO21" s="179"/>
      <c r="AP21" s="174"/>
      <c r="AQ21" s="174"/>
      <c r="AR21" s="174"/>
      <c r="AS21" s="174"/>
      <c r="AT21" s="174"/>
      <c r="AU21" s="180"/>
      <c r="AV21" s="174"/>
      <c r="AW21" s="174"/>
      <c r="AX21" s="174"/>
      <c r="AY21" s="174"/>
      <c r="AZ21" s="174"/>
      <c r="BA21" s="179"/>
      <c r="BB21" s="160"/>
      <c r="BC21" s="160"/>
      <c r="BD21" s="160"/>
      <c r="BE21" s="160"/>
      <c r="BF21" s="160"/>
      <c r="BG21" s="163"/>
      <c r="BH21" s="160"/>
      <c r="BI21" s="160"/>
      <c r="BJ21" s="160"/>
      <c r="BK21" s="160"/>
      <c r="BL21" s="160"/>
      <c r="BM21" s="164"/>
      <c r="BN21" s="159"/>
      <c r="BO21" s="160"/>
      <c r="BP21" s="160"/>
      <c r="BQ21" s="160"/>
      <c r="BR21" s="160"/>
      <c r="BS21" s="178"/>
      <c r="BT21" s="174"/>
      <c r="BU21" s="174"/>
      <c r="BV21" s="174"/>
      <c r="BW21" s="174"/>
      <c r="BX21" s="174"/>
      <c r="BY21" s="179"/>
      <c r="BZ21" s="174"/>
      <c r="CA21" s="174"/>
      <c r="CB21" s="174"/>
      <c r="CC21" s="174"/>
      <c r="CD21" s="174"/>
      <c r="CE21" s="180"/>
      <c r="CF21" s="174"/>
      <c r="CG21" s="174"/>
      <c r="CH21" s="174"/>
      <c r="CI21" s="174"/>
      <c r="CJ21" s="174"/>
      <c r="CK21" s="179"/>
      <c r="CL21" s="174"/>
      <c r="CM21" s="174"/>
      <c r="CN21" s="174"/>
      <c r="CO21" s="174"/>
      <c r="CP21" s="174"/>
      <c r="CQ21" s="180"/>
      <c r="CR21" s="174"/>
      <c r="CS21" s="174"/>
      <c r="CT21" s="174"/>
      <c r="CU21" s="174"/>
      <c r="CV21" s="174"/>
      <c r="CW21" s="179"/>
      <c r="CX21" s="174"/>
      <c r="CY21" s="174"/>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59"/>
      <c r="BHG21" s="160"/>
      <c r="BHH21" s="160"/>
      <c r="BHI21" s="160"/>
      <c r="BHJ21" s="160"/>
      <c r="BHK21" s="161"/>
      <c r="BHL21" s="160"/>
      <c r="BHM21" s="160"/>
      <c r="BHN21" s="160"/>
      <c r="BHO21" s="160"/>
      <c r="BHP21" s="160"/>
      <c r="BHQ21" s="162"/>
      <c r="BHR21" s="160"/>
      <c r="BHS21" s="160"/>
      <c r="BHT21" s="160"/>
      <c r="BHU21" s="160"/>
      <c r="BHV21" s="160"/>
      <c r="BHW21" s="163"/>
      <c r="BHX21" s="160"/>
      <c r="BHY21" s="160"/>
      <c r="BHZ21" s="160"/>
      <c r="BIA21" s="160"/>
      <c r="BIB21" s="160"/>
      <c r="BIC21" s="162"/>
      <c r="BID21" s="160"/>
      <c r="BIE21" s="160"/>
      <c r="BIF21" s="160"/>
      <c r="BIG21" s="160"/>
      <c r="BIH21" s="160"/>
      <c r="BII21" s="163"/>
      <c r="BIJ21" s="160"/>
      <c r="BIK21" s="160"/>
      <c r="BIL21" s="160"/>
      <c r="BIM21" s="160"/>
      <c r="BIN21" s="160"/>
      <c r="BIO21" s="162"/>
      <c r="BIP21" s="160"/>
      <c r="BIQ21" s="160"/>
      <c r="BIR21" s="160"/>
      <c r="BIS21" s="160"/>
      <c r="BIT21" s="160"/>
      <c r="BIU21" s="163"/>
      <c r="BIV21" s="160"/>
      <c r="BIW21" s="160"/>
      <c r="BIX21" s="160"/>
      <c r="BIY21" s="160"/>
      <c r="BIZ21" s="160"/>
      <c r="BJA21" s="162"/>
      <c r="BJB21" s="160"/>
      <c r="BJC21" s="160"/>
      <c r="BJD21" s="160"/>
      <c r="BJE21" s="160"/>
      <c r="BJF21" s="160"/>
      <c r="BJG21" s="163"/>
      <c r="BJH21" s="160"/>
      <c r="BJI21" s="160"/>
      <c r="BJJ21" s="160"/>
      <c r="BJK21" s="160"/>
      <c r="BJL21" s="160"/>
      <c r="BJM21" s="164"/>
    </row>
    <row r="22" spans="1:1625" ht="20.100000000000001" customHeight="1" x14ac:dyDescent="0.25">
      <c r="A22" s="78" t="s">
        <v>51</v>
      </c>
      <c r="B22" s="51" t="str">
        <f>IF(LEN(C29)=0,"",C29)</f>
        <v>Doc - Journal de travail</v>
      </c>
      <c r="C22" s="225"/>
      <c r="D22" s="120" t="str">
        <f t="shared" si="0"/>
        <v>8h 20 min</v>
      </c>
      <c r="E22" s="30">
        <v>100</v>
      </c>
      <c r="F22" s="187"/>
      <c r="G22" s="188"/>
      <c r="H22" s="188"/>
      <c r="I22" s="188"/>
      <c r="J22" s="188"/>
      <c r="K22" s="189"/>
      <c r="L22" s="188"/>
      <c r="M22" s="188"/>
      <c r="N22" s="188"/>
      <c r="O22" s="188"/>
      <c r="P22" s="188"/>
      <c r="Q22" s="190"/>
      <c r="R22" s="188"/>
      <c r="S22" s="188"/>
      <c r="T22" s="194"/>
      <c r="U22" s="194"/>
      <c r="V22" s="194"/>
      <c r="W22" s="197"/>
      <c r="X22" s="194"/>
      <c r="Y22" s="194"/>
      <c r="Z22" s="194"/>
      <c r="AA22" s="194"/>
      <c r="AB22" s="194"/>
      <c r="AC22" s="196"/>
      <c r="AD22" s="194"/>
      <c r="AE22" s="194"/>
      <c r="AF22" s="194"/>
      <c r="AG22" s="194"/>
      <c r="AH22" s="194"/>
      <c r="AI22" s="197"/>
      <c r="AJ22" s="194"/>
      <c r="AK22" s="194"/>
      <c r="AL22" s="194"/>
      <c r="AM22" s="194"/>
      <c r="AN22" s="194"/>
      <c r="AO22" s="196"/>
      <c r="AP22" s="194"/>
      <c r="AQ22" s="194"/>
      <c r="AR22" s="194"/>
      <c r="AS22" s="194"/>
      <c r="AT22" s="194"/>
      <c r="AU22" s="197"/>
      <c r="AV22" s="194"/>
      <c r="AW22" s="194"/>
      <c r="AX22" s="194"/>
      <c r="AY22" s="194"/>
      <c r="AZ22" s="194"/>
      <c r="BA22" s="196"/>
      <c r="BB22" s="188"/>
      <c r="BC22" s="188"/>
      <c r="BD22" s="188"/>
      <c r="BE22" s="188"/>
      <c r="BF22" s="188"/>
      <c r="BG22" s="191"/>
      <c r="BH22" s="188"/>
      <c r="BI22" s="188"/>
      <c r="BJ22" s="188"/>
      <c r="BK22" s="188"/>
      <c r="BL22" s="188"/>
      <c r="BM22" s="192"/>
      <c r="BN22" s="187"/>
      <c r="BO22" s="188"/>
      <c r="BP22" s="188"/>
      <c r="BQ22" s="188"/>
      <c r="BR22" s="188"/>
      <c r="BS22" s="195"/>
      <c r="BT22" s="194"/>
      <c r="BU22" s="194"/>
      <c r="BV22" s="194"/>
      <c r="BW22" s="194"/>
      <c r="BX22" s="194"/>
      <c r="BY22" s="196"/>
      <c r="BZ22" s="194"/>
      <c r="CA22" s="194"/>
      <c r="CB22" s="194"/>
      <c r="CC22" s="194"/>
      <c r="CD22" s="194"/>
      <c r="CE22" s="197"/>
      <c r="CF22" s="194"/>
      <c r="CG22" s="194"/>
      <c r="CH22" s="194"/>
      <c r="CI22" s="194"/>
      <c r="CJ22" s="194"/>
      <c r="CK22" s="196"/>
      <c r="CL22" s="194"/>
      <c r="CM22" s="194"/>
      <c r="CN22" s="194"/>
      <c r="CO22" s="194"/>
      <c r="CP22" s="194"/>
      <c r="CQ22" s="197"/>
      <c r="CR22" s="194"/>
      <c r="CS22" s="194"/>
      <c r="CT22" s="194"/>
      <c r="CU22" s="194"/>
      <c r="CV22" s="194"/>
      <c r="CW22" s="196"/>
      <c r="CX22" s="194"/>
      <c r="CY22" s="194"/>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93"/>
      <c r="DW22" s="194"/>
      <c r="DX22" s="194"/>
      <c r="DY22" s="194"/>
      <c r="DZ22" s="194"/>
      <c r="EA22" s="195"/>
      <c r="EB22" s="194"/>
      <c r="EC22" s="194"/>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94"/>
      <c r="GK22" s="194"/>
      <c r="GL22" s="194"/>
      <c r="GM22" s="194"/>
      <c r="GN22" s="194"/>
      <c r="GO22" s="196"/>
      <c r="GP22" s="194"/>
      <c r="GQ22" s="194"/>
      <c r="GR22" s="194"/>
      <c r="GS22" s="194"/>
      <c r="GT22" s="194"/>
      <c r="GU22" s="197"/>
      <c r="GV22" s="194"/>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94"/>
      <c r="LO22" s="194"/>
      <c r="LP22" s="194"/>
      <c r="LQ22" s="196"/>
      <c r="LR22" s="194"/>
      <c r="LS22" s="194"/>
      <c r="LT22" s="194"/>
      <c r="LU22" s="194"/>
      <c r="LV22" s="194"/>
      <c r="LW22" s="197"/>
      <c r="LX22" s="194"/>
      <c r="LY22" s="194"/>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row>
    <row r="23" spans="1:1625" ht="20.100000000000001" customHeight="1" x14ac:dyDescent="0.25">
      <c r="A23" s="78" t="s">
        <v>50</v>
      </c>
      <c r="B23" s="51" t="str">
        <f>IF(LEN(C31)=0,"",C31)</f>
        <v>Doc - Rapport</v>
      </c>
      <c r="C23" s="223" t="s">
        <v>71</v>
      </c>
      <c r="D23" s="119" t="str">
        <f t="shared" si="0"/>
        <v>8h 5 min</v>
      </c>
      <c r="E23" s="34">
        <v>97</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77"/>
      <c r="EN23" s="172"/>
      <c r="EO23" s="172"/>
      <c r="EP23" s="172"/>
      <c r="EQ23" s="172"/>
      <c r="ER23" s="172"/>
      <c r="ES23" s="175"/>
      <c r="ET23" s="172"/>
      <c r="EU23" s="172"/>
      <c r="EV23" s="172"/>
      <c r="EW23" s="172"/>
      <c r="EX23" s="172"/>
      <c r="EY23" s="177"/>
      <c r="EZ23" s="172"/>
      <c r="FA23" s="172"/>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71"/>
      <c r="GE23" s="172"/>
      <c r="GF23" s="172"/>
      <c r="GG23" s="172"/>
      <c r="GH23" s="172"/>
      <c r="GI23" s="173"/>
      <c r="GJ23" s="172"/>
      <c r="GK23" s="172"/>
      <c r="GL23" s="172"/>
      <c r="GM23" s="172"/>
      <c r="GN23" s="172"/>
      <c r="GO23" s="175"/>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72"/>
      <c r="JQ23" s="172"/>
      <c r="JR23" s="172"/>
      <c r="JS23" s="172"/>
      <c r="JT23" s="172"/>
      <c r="JU23" s="175"/>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72"/>
      <c r="OB23" s="172"/>
      <c r="OC23" s="172"/>
      <c r="OD23" s="172"/>
      <c r="OE23" s="177"/>
      <c r="OF23" s="172"/>
      <c r="OG23" s="172"/>
      <c r="OH23" s="172"/>
      <c r="OI23" s="172"/>
      <c r="OJ23" s="172"/>
      <c r="OK23" s="175"/>
      <c r="OL23" s="172"/>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71"/>
      <c r="UA23" s="172"/>
      <c r="UB23" s="172"/>
      <c r="UC23" s="172"/>
      <c r="UD23" s="172"/>
      <c r="UE23" s="173"/>
      <c r="UF23" s="172"/>
      <c r="UG23" s="172"/>
      <c r="UH23" s="172"/>
      <c r="UI23" s="172"/>
      <c r="UJ23" s="172"/>
      <c r="UK23" s="175"/>
      <c r="UL23" s="172"/>
      <c r="UM23" s="172"/>
      <c r="UN23" s="172"/>
      <c r="UO23" s="172"/>
      <c r="UP23" s="172"/>
      <c r="UQ23" s="177"/>
      <c r="UR23" s="172"/>
      <c r="US23" s="172"/>
      <c r="UT23" s="172"/>
      <c r="UU23" s="172"/>
      <c r="UV23" s="172"/>
      <c r="UW23" s="175"/>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72"/>
      <c r="XC23" s="172"/>
      <c r="XD23" s="172"/>
      <c r="XE23" s="175"/>
      <c r="XF23" s="172"/>
      <c r="XG23" s="172"/>
      <c r="XH23" s="172"/>
      <c r="XI23" s="172"/>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71"/>
      <c r="ADG23" s="172"/>
      <c r="ADH23" s="172"/>
      <c r="ADI23" s="172"/>
      <c r="ADJ23" s="172"/>
      <c r="ADK23" s="173"/>
      <c r="ADL23" s="172"/>
      <c r="ADM23" s="172"/>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71"/>
      <c r="AHW23" s="172"/>
      <c r="AHX23" s="172"/>
      <c r="AHY23" s="172"/>
      <c r="AHZ23" s="172"/>
      <c r="AIA23" s="173"/>
      <c r="AIB23" s="172"/>
      <c r="AIC23" s="172"/>
      <c r="AID23" s="172"/>
      <c r="AIE23" s="172"/>
      <c r="AIF23" s="172"/>
      <c r="AIG23" s="175"/>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65"/>
      <c r="BHG23" s="166"/>
      <c r="BHH23" s="166"/>
      <c r="BHI23" s="166"/>
      <c r="BHJ23" s="166"/>
      <c r="BHK23" s="167"/>
      <c r="BHL23" s="166"/>
      <c r="BHM23" s="166"/>
      <c r="BHN23" s="166"/>
      <c r="BHO23" s="166"/>
      <c r="BHP23" s="166"/>
      <c r="BHQ23" s="168"/>
      <c r="BHR23" s="166"/>
      <c r="BHS23" s="166"/>
      <c r="BHT23" s="166"/>
      <c r="BHU23" s="166"/>
      <c r="BHV23" s="166"/>
      <c r="BHW23" s="169"/>
      <c r="BHX23" s="166"/>
      <c r="BHY23" s="166"/>
      <c r="BHZ23" s="166"/>
      <c r="BIA23" s="166"/>
      <c r="BIB23" s="166"/>
      <c r="BIC23" s="168"/>
      <c r="BID23" s="166"/>
      <c r="BIE23" s="166"/>
      <c r="BIF23" s="166"/>
      <c r="BIG23" s="166"/>
      <c r="BIH23" s="166"/>
      <c r="BII23" s="169"/>
      <c r="BIJ23" s="166"/>
      <c r="BIK23" s="166"/>
      <c r="BIL23" s="166"/>
      <c r="BIM23" s="166"/>
      <c r="BIN23" s="166"/>
      <c r="BIO23" s="168"/>
      <c r="BIP23" s="166"/>
      <c r="BIQ23" s="166"/>
      <c r="BIR23" s="166"/>
      <c r="BIS23" s="166"/>
      <c r="BIT23" s="166"/>
      <c r="BIU23" s="169"/>
      <c r="BIV23" s="166"/>
      <c r="BIW23" s="166"/>
      <c r="BIX23" s="166"/>
      <c r="BIY23" s="166"/>
      <c r="BIZ23" s="166"/>
      <c r="BJA23" s="168"/>
      <c r="BJB23" s="166"/>
      <c r="BJC23" s="166"/>
      <c r="BJD23" s="166"/>
      <c r="BJE23" s="166"/>
      <c r="BJF23" s="166"/>
      <c r="BJG23" s="169"/>
      <c r="BJH23" s="166"/>
      <c r="BJI23" s="166"/>
      <c r="BJJ23" s="166"/>
      <c r="BJK23" s="166"/>
      <c r="BJL23" s="166"/>
      <c r="BJM23" s="170"/>
    </row>
    <row r="24" spans="1:1625" ht="20.100000000000001" customHeight="1" x14ac:dyDescent="0.25">
      <c r="A24" s="78" t="s">
        <v>51</v>
      </c>
      <c r="B24" s="51" t="str">
        <f>IF(LEN(C33)=0,"",C33)</f>
        <v xml:space="preserve">Implémentation - Commentaires code </v>
      </c>
      <c r="C24" s="225"/>
      <c r="D24" s="120" t="str">
        <f t="shared" si="0"/>
        <v>7h 15 min</v>
      </c>
      <c r="E24" s="22">
        <v>87</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99"/>
      <c r="JY24" s="199"/>
      <c r="JZ24" s="199"/>
      <c r="KA24" s="205"/>
      <c r="KB24" s="199"/>
      <c r="KC24" s="199"/>
      <c r="KD24" s="199"/>
      <c r="KE24" s="199"/>
      <c r="KF24" s="199"/>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99"/>
      <c r="QL24" s="199"/>
      <c r="QM24" s="205"/>
      <c r="QN24" s="199"/>
      <c r="QO24" s="199"/>
      <c r="QP24" s="199"/>
      <c r="QQ24" s="199"/>
      <c r="QR24" s="199"/>
      <c r="QS24" s="198"/>
      <c r="QT24" s="199"/>
      <c r="QU24" s="199"/>
      <c r="QV24" s="199"/>
      <c r="QW24" s="199"/>
      <c r="QX24" s="199"/>
      <c r="QY24" s="205"/>
      <c r="QZ24" s="199"/>
      <c r="RA24" s="199"/>
      <c r="RB24" s="199"/>
      <c r="RC24" s="199"/>
      <c r="RD24" s="199"/>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99"/>
      <c r="UT24" s="199"/>
      <c r="UU24" s="199"/>
      <c r="UV24" s="199"/>
      <c r="UW24" s="198"/>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203"/>
      <c r="YQ24" s="199"/>
      <c r="YR24" s="199"/>
      <c r="YS24" s="199"/>
      <c r="YT24" s="199"/>
      <c r="YU24" s="204"/>
      <c r="YV24" s="199"/>
      <c r="YW24" s="199"/>
      <c r="YX24" s="199"/>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99"/>
      <c r="ADS24" s="199"/>
      <c r="ADT24" s="199"/>
      <c r="ADU24" s="199"/>
      <c r="ADV24" s="199"/>
      <c r="ADW24" s="205"/>
      <c r="ADX24" s="199"/>
      <c r="ADY24" s="199"/>
      <c r="ADZ24" s="199"/>
      <c r="AEA24" s="199"/>
      <c r="AEB24" s="199"/>
      <c r="AEC24" s="198"/>
      <c r="AED24" s="199"/>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203"/>
      <c r="AKE24" s="199"/>
      <c r="AKF24" s="199"/>
      <c r="AKG24" s="199"/>
      <c r="AKH24" s="199"/>
      <c r="AKI24" s="204"/>
      <c r="AKJ24" s="199"/>
      <c r="AKK24" s="199"/>
      <c r="AKL24" s="199"/>
      <c r="AKM24" s="199"/>
      <c r="AKN24" s="199"/>
      <c r="AKO24" s="198"/>
      <c r="AKP24" s="199"/>
      <c r="AKQ24" s="199"/>
      <c r="AKR24" s="199"/>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99"/>
      <c r="AQF24" s="199"/>
      <c r="AQG24" s="199"/>
      <c r="AQH24" s="199"/>
      <c r="AQI24" s="205"/>
      <c r="AQJ24" s="199"/>
      <c r="AQK24" s="199"/>
      <c r="AQL24" s="199"/>
      <c r="AQM24" s="199"/>
      <c r="AQN24" s="199"/>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99"/>
      <c r="AUP24" s="199"/>
      <c r="AUQ24" s="199"/>
      <c r="AUR24" s="199"/>
      <c r="AUS24" s="198"/>
      <c r="AUT24" s="199"/>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row>
    <row r="25" spans="1:1625" ht="20.100000000000001" customHeight="1" x14ac:dyDescent="0.25">
      <c r="A25" s="78" t="s">
        <v>50</v>
      </c>
      <c r="B25" s="51" t="str">
        <f>IF(LEN(C35)=0,"",C35)</f>
        <v>Implémentation - Connexion réseau IOT</v>
      </c>
      <c r="C25" s="223" t="s">
        <v>81</v>
      </c>
      <c r="D25" s="119" t="str">
        <f t="shared" si="0"/>
        <v xml:space="preserve"> 50 min</v>
      </c>
      <c r="E25" s="26">
        <v>10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4"/>
      <c r="DX25" s="174"/>
      <c r="DY25" s="174"/>
      <c r="DZ25" s="174"/>
      <c r="EA25" s="178"/>
      <c r="EB25" s="174"/>
      <c r="EC25" s="174"/>
      <c r="ED25" s="174"/>
      <c r="EE25" s="174"/>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59"/>
      <c r="BHG25" s="160"/>
      <c r="BHH25" s="160"/>
      <c r="BHI25" s="160"/>
      <c r="BHJ25" s="160"/>
      <c r="BHK25" s="161"/>
      <c r="BHL25" s="160"/>
      <c r="BHM25" s="160"/>
      <c r="BHN25" s="160"/>
      <c r="BHO25" s="160"/>
      <c r="BHP25" s="160"/>
      <c r="BHQ25" s="162"/>
      <c r="BHR25" s="160"/>
      <c r="BHS25" s="160"/>
      <c r="BHT25" s="160"/>
      <c r="BHU25" s="160"/>
      <c r="BHV25" s="160"/>
      <c r="BHW25" s="163"/>
      <c r="BHX25" s="160"/>
      <c r="BHY25" s="160"/>
      <c r="BHZ25" s="160"/>
      <c r="BIA25" s="160"/>
      <c r="BIB25" s="160"/>
      <c r="BIC25" s="162"/>
      <c r="BID25" s="160"/>
      <c r="BIE25" s="160"/>
      <c r="BIF25" s="160"/>
      <c r="BIG25" s="160"/>
      <c r="BIH25" s="160"/>
      <c r="BII25" s="163"/>
      <c r="BIJ25" s="160"/>
      <c r="BIK25" s="160"/>
      <c r="BIL25" s="160"/>
      <c r="BIM25" s="160"/>
      <c r="BIN25" s="160"/>
      <c r="BIO25" s="162"/>
      <c r="BIP25" s="160"/>
      <c r="BIQ25" s="160"/>
      <c r="BIR25" s="160"/>
      <c r="BIS25" s="160"/>
      <c r="BIT25" s="160"/>
      <c r="BIU25" s="163"/>
      <c r="BIV25" s="160"/>
      <c r="BIW25" s="160"/>
      <c r="BIX25" s="160"/>
      <c r="BIY25" s="160"/>
      <c r="BIZ25" s="160"/>
      <c r="BJA25" s="162"/>
      <c r="BJB25" s="160"/>
      <c r="BJC25" s="160"/>
      <c r="BJD25" s="160"/>
      <c r="BJE25" s="160"/>
      <c r="BJF25" s="160"/>
      <c r="BJG25" s="163"/>
      <c r="BJH25" s="160"/>
      <c r="BJI25" s="160"/>
      <c r="BJJ25" s="160"/>
      <c r="BJK25" s="160"/>
      <c r="BJL25" s="160"/>
      <c r="BJM25" s="164"/>
    </row>
    <row r="26" spans="1:1625" ht="20.100000000000001" customHeight="1" x14ac:dyDescent="0.3">
      <c r="A26" s="78" t="s">
        <v>51</v>
      </c>
      <c r="B26" s="51" t="str">
        <f>IF(LEN(C37)=0,"",C37)</f>
        <v>Implémentation - ESP32</v>
      </c>
      <c r="C26" s="225"/>
      <c r="D26" s="121" t="str">
        <f t="shared" si="0"/>
        <v>1h 30 min</v>
      </c>
      <c r="E26" s="30">
        <v>18</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94"/>
      <c r="JL26" s="194"/>
      <c r="JM26" s="194"/>
      <c r="JN26" s="194"/>
      <c r="JO26" s="197"/>
      <c r="JP26" s="194"/>
      <c r="JQ26" s="194"/>
      <c r="JR26" s="194"/>
      <c r="JS26" s="194"/>
      <c r="JT26" s="194"/>
      <c r="JU26" s="196"/>
      <c r="JV26" s="194"/>
      <c r="JW26" s="194"/>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94"/>
      <c r="MA26" s="194"/>
      <c r="MB26" s="194"/>
      <c r="MC26" s="196"/>
      <c r="MD26" s="194"/>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row>
    <row r="27" spans="1:1625" ht="20.100000000000001" customHeight="1" x14ac:dyDescent="0.25">
      <c r="A27" s="78" t="s">
        <v>50</v>
      </c>
      <c r="B27" s="51" t="str">
        <f>IF(LEN(C39)=0,"",C39)</f>
        <v>Implémentation - GIT</v>
      </c>
      <c r="C27" s="223" t="s">
        <v>85</v>
      </c>
      <c r="D27" s="119" t="str">
        <f t="shared" si="0"/>
        <v>2h 30 min</v>
      </c>
      <c r="E27" s="34">
        <v>30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71"/>
      <c r="IM27" s="172"/>
      <c r="IN27" s="172"/>
      <c r="IO27" s="172"/>
      <c r="IP27" s="172"/>
      <c r="IQ27" s="173"/>
      <c r="IR27" s="172"/>
      <c r="IS27" s="172"/>
      <c r="IT27" s="172"/>
      <c r="IU27" s="172"/>
      <c r="IV27" s="172"/>
      <c r="IW27" s="175"/>
      <c r="IX27" s="172"/>
      <c r="IY27" s="172"/>
      <c r="IZ27" s="172"/>
      <c r="JA27" s="172"/>
      <c r="JB27" s="172"/>
      <c r="JC27" s="177"/>
      <c r="JD27" s="172"/>
      <c r="JE27" s="172"/>
      <c r="JF27" s="172"/>
      <c r="JG27" s="172"/>
      <c r="JH27" s="172"/>
      <c r="JI27" s="175"/>
      <c r="JJ27" s="172"/>
      <c r="JK27" s="172"/>
      <c r="JL27" s="172"/>
      <c r="JM27" s="172"/>
      <c r="JN27" s="172"/>
      <c r="JO27" s="177"/>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65"/>
      <c r="BHG27" s="166"/>
      <c r="BHH27" s="166"/>
      <c r="BHI27" s="166"/>
      <c r="BHJ27" s="166"/>
      <c r="BHK27" s="167"/>
      <c r="BHL27" s="166"/>
      <c r="BHM27" s="166"/>
      <c r="BHN27" s="166"/>
      <c r="BHO27" s="166"/>
      <c r="BHP27" s="166"/>
      <c r="BHQ27" s="168"/>
      <c r="BHR27" s="166"/>
      <c r="BHS27" s="166"/>
      <c r="BHT27" s="166"/>
      <c r="BHU27" s="166"/>
      <c r="BHV27" s="166"/>
      <c r="BHW27" s="169"/>
      <c r="BHX27" s="166"/>
      <c r="BHY27" s="166"/>
      <c r="BHZ27" s="166"/>
      <c r="BIA27" s="166"/>
      <c r="BIB27" s="166"/>
      <c r="BIC27" s="168"/>
      <c r="BID27" s="166"/>
      <c r="BIE27" s="166"/>
      <c r="BIF27" s="166"/>
      <c r="BIG27" s="166"/>
      <c r="BIH27" s="166"/>
      <c r="BII27" s="169"/>
      <c r="BIJ27" s="166"/>
      <c r="BIK27" s="166"/>
      <c r="BIL27" s="166"/>
      <c r="BIM27" s="166"/>
      <c r="BIN27" s="166"/>
      <c r="BIO27" s="168"/>
      <c r="BIP27" s="166"/>
      <c r="BIQ27" s="166"/>
      <c r="BIR27" s="166"/>
      <c r="BIS27" s="166"/>
      <c r="BIT27" s="166"/>
      <c r="BIU27" s="169"/>
      <c r="BIV27" s="166"/>
      <c r="BIW27" s="166"/>
      <c r="BIX27" s="166"/>
      <c r="BIY27" s="166"/>
      <c r="BIZ27" s="166"/>
      <c r="BJA27" s="168"/>
      <c r="BJB27" s="166"/>
      <c r="BJC27" s="166"/>
      <c r="BJD27" s="166"/>
      <c r="BJE27" s="166"/>
      <c r="BJF27" s="166"/>
      <c r="BJG27" s="169"/>
      <c r="BJH27" s="166"/>
      <c r="BJI27" s="166"/>
      <c r="BJJ27" s="166"/>
      <c r="BJK27" s="166"/>
      <c r="BJL27" s="166"/>
      <c r="BJM27" s="170"/>
    </row>
    <row r="28" spans="1:1625" ht="20.100000000000001" customHeight="1" x14ac:dyDescent="0.3">
      <c r="A28" s="78" t="s">
        <v>51</v>
      </c>
      <c r="B28" s="51" t="str">
        <f>IF(LEN(C41)=0,"",C41)</f>
        <v>Implémentation - Interface web</v>
      </c>
      <c r="C28" s="225"/>
      <c r="D28" s="121" t="str">
        <f t="shared" si="0"/>
        <v>2h 15 min</v>
      </c>
      <c r="E28" s="22">
        <v>27</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203"/>
      <c r="PK28" s="199"/>
      <c r="PL28" s="199"/>
      <c r="PM28" s="199"/>
      <c r="PN28" s="199"/>
      <c r="PO28" s="204"/>
      <c r="PP28" s="199"/>
      <c r="PQ28" s="199"/>
      <c r="PR28" s="199"/>
      <c r="PS28" s="199"/>
      <c r="PT28" s="199"/>
      <c r="PU28" s="198"/>
      <c r="PV28" s="199"/>
      <c r="PW28" s="199"/>
      <c r="PX28" s="199"/>
      <c r="PY28" s="199"/>
      <c r="PZ28" s="199"/>
      <c r="QA28" s="205"/>
      <c r="QB28" s="199"/>
      <c r="QC28" s="199"/>
      <c r="QD28" s="199"/>
      <c r="QE28" s="199"/>
      <c r="QF28" s="199"/>
      <c r="QG28" s="198"/>
      <c r="QH28" s="199"/>
      <c r="QI28" s="199"/>
      <c r="QJ28" s="199"/>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row>
    <row r="29" spans="1:1625" ht="20.100000000000001" customHeight="1" x14ac:dyDescent="0.25">
      <c r="A29" s="78" t="s">
        <v>50</v>
      </c>
      <c r="B29" s="51" t="str">
        <f>IF(LEN(C43)=0,"",C43)</f>
        <v>Implémentation - Mise en place des branches ESP32</v>
      </c>
      <c r="C29" s="223" t="s">
        <v>53</v>
      </c>
      <c r="D29" s="119" t="str">
        <f t="shared" si="0"/>
        <v>2h 45 min</v>
      </c>
      <c r="E29" s="26">
        <v>33</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74"/>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74"/>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79"/>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74"/>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74"/>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79"/>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74"/>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74"/>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74"/>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79"/>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74"/>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74"/>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79"/>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74"/>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74"/>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74"/>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79"/>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74"/>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74"/>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79"/>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74"/>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74"/>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79"/>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74"/>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59"/>
      <c r="BHG29" s="160"/>
      <c r="BHH29" s="160"/>
      <c r="BHI29" s="160"/>
      <c r="BHJ29" s="160"/>
      <c r="BHK29" s="161"/>
      <c r="BHL29" s="160"/>
      <c r="BHM29" s="160"/>
      <c r="BHN29" s="160"/>
      <c r="BHO29" s="160"/>
      <c r="BHP29" s="160"/>
      <c r="BHQ29" s="162"/>
      <c r="BHR29" s="160"/>
      <c r="BHS29" s="160"/>
      <c r="BHT29" s="160"/>
      <c r="BHU29" s="160"/>
      <c r="BHV29" s="160"/>
      <c r="BHW29" s="163"/>
      <c r="BHX29" s="160"/>
      <c r="BHY29" s="160"/>
      <c r="BHZ29" s="160"/>
      <c r="BIA29" s="160"/>
      <c r="BIB29" s="160"/>
      <c r="BIC29" s="162"/>
      <c r="BID29" s="160"/>
      <c r="BIE29" s="160"/>
      <c r="BIF29" s="160"/>
      <c r="BIG29" s="160"/>
      <c r="BIH29" s="160"/>
      <c r="BII29" s="180"/>
      <c r="BIJ29" s="174"/>
      <c r="BIK29" s="174"/>
      <c r="BIL29" s="174"/>
      <c r="BIM29" s="174"/>
      <c r="BIN29" s="174"/>
      <c r="BIO29" s="179"/>
      <c r="BIP29" s="174"/>
      <c r="BIQ29" s="174"/>
      <c r="BIR29" s="160"/>
      <c r="BIS29" s="160"/>
      <c r="BIT29" s="160"/>
      <c r="BIU29" s="163"/>
      <c r="BIV29" s="160"/>
      <c r="BIW29" s="160"/>
      <c r="BIX29" s="160"/>
      <c r="BIY29" s="160"/>
      <c r="BIZ29" s="160"/>
      <c r="BJA29" s="162"/>
      <c r="BJB29" s="160"/>
      <c r="BJC29" s="160"/>
      <c r="BJD29" s="160"/>
      <c r="BJE29" s="160"/>
      <c r="BJF29" s="160"/>
      <c r="BJG29" s="163"/>
      <c r="BJH29" s="160"/>
      <c r="BJI29" s="160"/>
      <c r="BJJ29" s="160"/>
      <c r="BJK29" s="160"/>
      <c r="BJL29" s="160"/>
      <c r="BJM29" s="164"/>
    </row>
    <row r="30" spans="1:1625" ht="20.100000000000001" customHeight="1" x14ac:dyDescent="0.3">
      <c r="A30" s="78" t="s">
        <v>51</v>
      </c>
      <c r="B30" s="51" t="str">
        <f>IF(LEN(C45)=0,"",C45)</f>
        <v>Implémentation - Stockage</v>
      </c>
      <c r="C30" s="224"/>
      <c r="D30" s="121" t="str">
        <f t="shared" si="0"/>
        <v>1h 30 min</v>
      </c>
      <c r="E30" s="30">
        <v>18</v>
      </c>
      <c r="F30" s="187"/>
      <c r="G30" s="188"/>
      <c r="H30" s="188"/>
      <c r="I30" s="188"/>
      <c r="J30" s="188" t="s">
        <v>66</v>
      </c>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94"/>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6"/>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94"/>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94"/>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188"/>
      <c r="QU30" s="188"/>
      <c r="QV30" s="188"/>
      <c r="QW30" s="188"/>
      <c r="QX30" s="188"/>
      <c r="QY30" s="191"/>
      <c r="QZ30" s="188"/>
      <c r="RA30" s="188"/>
      <c r="RB30" s="188"/>
      <c r="RC30" s="188"/>
      <c r="RD30" s="188"/>
      <c r="RE30" s="196"/>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94"/>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94"/>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94"/>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6"/>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94"/>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94"/>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6"/>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94"/>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94"/>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94"/>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6"/>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94"/>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94"/>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row>
    <row r="31" spans="1:1625" ht="20.100000000000001" customHeight="1" x14ac:dyDescent="0.25">
      <c r="A31" s="78" t="s">
        <v>50</v>
      </c>
      <c r="B31" s="51" t="str">
        <f>IF(LEN(C47)=0,"",C47)</f>
        <v>Meeting - Chef du projet</v>
      </c>
      <c r="C31" s="223" t="s">
        <v>54</v>
      </c>
      <c r="D31" s="119" t="str">
        <f t="shared" si="0"/>
        <v>26h</v>
      </c>
      <c r="E31" s="34">
        <v>312</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72"/>
      <c r="EG31" s="175"/>
      <c r="EH31" s="172"/>
      <c r="EI31" s="172"/>
      <c r="EJ31" s="172"/>
      <c r="EK31" s="172"/>
      <c r="EL31" s="172"/>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72"/>
      <c r="GQ31" s="172"/>
      <c r="GR31" s="172"/>
      <c r="GS31" s="172"/>
      <c r="GT31" s="172"/>
      <c r="GU31" s="177"/>
      <c r="GV31" s="172"/>
      <c r="GW31" s="172"/>
      <c r="GX31" s="172"/>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71"/>
      <c r="KU31" s="172"/>
      <c r="KV31" s="172"/>
      <c r="KW31" s="172"/>
      <c r="KX31" s="172"/>
      <c r="KY31" s="173"/>
      <c r="KZ31" s="172"/>
      <c r="LA31" s="172"/>
      <c r="LB31" s="172"/>
      <c r="LC31" s="172"/>
      <c r="LD31" s="166"/>
      <c r="LE31" s="168"/>
      <c r="LF31" s="166"/>
      <c r="LG31" s="166"/>
      <c r="LH31" s="166"/>
      <c r="LI31" s="166"/>
      <c r="LJ31" s="166"/>
      <c r="LK31" s="169"/>
      <c r="LL31" s="166"/>
      <c r="LM31" s="166"/>
      <c r="LN31" s="166"/>
      <c r="LO31" s="166"/>
      <c r="LP31" s="172"/>
      <c r="LQ31" s="175"/>
      <c r="LR31" s="172"/>
      <c r="LS31" s="172"/>
      <c r="LT31" s="172"/>
      <c r="LU31" s="172"/>
      <c r="LV31" s="172"/>
      <c r="LW31" s="177"/>
      <c r="LX31" s="172"/>
      <c r="LY31" s="172"/>
      <c r="LZ31" s="172"/>
      <c r="MA31" s="172"/>
      <c r="MB31" s="172"/>
      <c r="MC31" s="175"/>
      <c r="MD31" s="172"/>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72"/>
      <c r="NR31" s="172"/>
      <c r="NS31" s="177"/>
      <c r="NT31" s="172"/>
      <c r="NU31" s="172"/>
      <c r="NV31" s="172"/>
      <c r="NW31" s="172"/>
      <c r="NX31" s="172"/>
      <c r="NY31" s="175"/>
      <c r="NZ31" s="172"/>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72"/>
      <c r="SR31" s="172"/>
      <c r="SS31" s="172"/>
      <c r="ST31" s="172"/>
      <c r="SU31" s="177"/>
      <c r="SV31" s="172"/>
      <c r="SW31" s="172"/>
      <c r="SX31" s="172"/>
      <c r="SY31" s="172"/>
      <c r="SZ31" s="172"/>
      <c r="TA31" s="175"/>
      <c r="TB31" s="172"/>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71"/>
      <c r="YQ31" s="172"/>
      <c r="YR31" s="172"/>
      <c r="YS31" s="172"/>
      <c r="YT31" s="172"/>
      <c r="YU31" s="173"/>
      <c r="YV31" s="172"/>
      <c r="YW31" s="172"/>
      <c r="YX31" s="172"/>
      <c r="YY31" s="172"/>
      <c r="YZ31" s="172"/>
      <c r="ZA31" s="175"/>
      <c r="ZB31" s="172"/>
      <c r="ZC31" s="172"/>
      <c r="ZD31" s="172"/>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72"/>
      <c r="ABZ31" s="172"/>
      <c r="ACA31" s="177"/>
      <c r="ACB31" s="172"/>
      <c r="ACC31" s="172"/>
      <c r="ACD31" s="172"/>
      <c r="ACE31" s="172"/>
      <c r="ACF31" s="172"/>
      <c r="ACG31" s="175"/>
      <c r="ACH31" s="172"/>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72"/>
      <c r="AGA31" s="172"/>
      <c r="AGB31" s="172"/>
      <c r="AGC31" s="172"/>
      <c r="AGD31" s="172"/>
      <c r="AGE31" s="177"/>
      <c r="AGF31" s="172"/>
      <c r="AGG31" s="172"/>
      <c r="AGH31" s="172"/>
      <c r="AGI31" s="172"/>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72"/>
      <c r="ANG31" s="172"/>
      <c r="ANH31" s="172"/>
      <c r="ANI31" s="175"/>
      <c r="ANJ31" s="172"/>
      <c r="ANK31" s="172"/>
      <c r="ANL31" s="172"/>
      <c r="ANM31" s="172"/>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72"/>
      <c r="AQI31" s="177"/>
      <c r="AQJ31" s="172"/>
      <c r="AQK31" s="172"/>
      <c r="AQL31" s="172"/>
      <c r="AQM31" s="172"/>
      <c r="AQN31" s="172"/>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72"/>
      <c r="ASC31" s="172"/>
      <c r="ASD31" s="172"/>
      <c r="ASE31" s="177"/>
      <c r="ASF31" s="172"/>
      <c r="ASG31" s="172"/>
      <c r="ASH31" s="172"/>
      <c r="ASI31" s="172"/>
      <c r="ASJ31" s="172"/>
      <c r="ASK31" s="175"/>
      <c r="ASL31" s="172"/>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72"/>
      <c r="ATW31" s="172"/>
      <c r="ATX31" s="172"/>
      <c r="ATY31" s="172"/>
      <c r="ATZ31" s="172"/>
      <c r="AUA31" s="177"/>
      <c r="AUB31" s="172"/>
      <c r="AUC31" s="172"/>
      <c r="AUD31" s="172"/>
      <c r="AUE31" s="172"/>
      <c r="AUF31" s="172"/>
      <c r="AUG31" s="175"/>
      <c r="AUH31" s="172"/>
      <c r="AUI31" s="172"/>
      <c r="AUJ31" s="172"/>
      <c r="AUK31" s="172"/>
      <c r="AUL31" s="172"/>
      <c r="AUM31" s="177"/>
      <c r="AUN31" s="172"/>
      <c r="AUO31" s="172"/>
      <c r="AUP31" s="172"/>
      <c r="AUQ31" s="172"/>
      <c r="AUR31" s="172"/>
      <c r="AUS31" s="175"/>
      <c r="AUT31" s="172"/>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72"/>
      <c r="AXG31" s="177"/>
      <c r="AXH31" s="172"/>
      <c r="AXI31" s="172"/>
      <c r="AXJ31" s="172"/>
      <c r="AXK31" s="172"/>
      <c r="AXL31" s="172"/>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72"/>
      <c r="AYK31" s="175"/>
      <c r="AYL31" s="172"/>
      <c r="AYM31" s="172"/>
      <c r="AYN31" s="172"/>
      <c r="AYO31" s="172"/>
      <c r="AYP31" s="172"/>
      <c r="AYQ31" s="177"/>
      <c r="AYR31" s="172"/>
      <c r="AYS31" s="172"/>
      <c r="AYT31" s="172"/>
      <c r="AYU31" s="172"/>
      <c r="AYV31" s="172"/>
      <c r="AYW31" s="175"/>
      <c r="AYX31" s="172"/>
      <c r="AYY31" s="172"/>
      <c r="AYZ31" s="172"/>
      <c r="AZA31" s="172"/>
      <c r="AZB31" s="172"/>
      <c r="AZC31" s="177"/>
      <c r="AZD31" s="172"/>
      <c r="AZE31" s="172"/>
      <c r="AZF31" s="172"/>
      <c r="AZG31" s="172"/>
      <c r="AZH31" s="172"/>
      <c r="AZI31" s="175"/>
      <c r="AZJ31" s="172"/>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71"/>
      <c r="BAI31" s="172"/>
      <c r="BAJ31" s="172"/>
      <c r="BAK31" s="172"/>
      <c r="BAL31" s="172"/>
      <c r="BAM31" s="173"/>
      <c r="BAN31" s="172"/>
      <c r="BAO31" s="172"/>
      <c r="BAP31" s="172"/>
      <c r="BAQ31" s="172"/>
      <c r="BAR31" s="172"/>
      <c r="BAS31" s="175"/>
      <c r="BAT31" s="172"/>
      <c r="BAU31" s="172"/>
      <c r="BAV31" s="172"/>
      <c r="BAW31" s="172"/>
      <c r="BAX31" s="172"/>
      <c r="BAY31" s="177"/>
      <c r="BAZ31" s="172"/>
      <c r="BBA31" s="172"/>
      <c r="BBB31" s="172"/>
      <c r="BBC31" s="172"/>
      <c r="BBD31" s="172"/>
      <c r="BBE31" s="175"/>
      <c r="BBF31" s="172"/>
      <c r="BBG31" s="172"/>
      <c r="BBH31" s="172"/>
      <c r="BBI31" s="172"/>
      <c r="BBJ31" s="172"/>
      <c r="BBK31" s="177"/>
      <c r="BBL31" s="172"/>
      <c r="BBM31" s="172"/>
      <c r="BBN31" s="172"/>
      <c r="BBO31" s="172"/>
      <c r="BBP31" s="172"/>
      <c r="BBQ31" s="175"/>
      <c r="BBR31" s="172"/>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71"/>
      <c r="BCQ31" s="172"/>
      <c r="BCR31" s="172"/>
      <c r="BCS31" s="172"/>
      <c r="BCT31" s="172"/>
      <c r="BCU31" s="173"/>
      <c r="BCV31" s="172"/>
      <c r="BCW31" s="172"/>
      <c r="BCX31" s="172"/>
      <c r="BCY31" s="172"/>
      <c r="BCZ31" s="172"/>
      <c r="BDA31" s="175"/>
      <c r="BDB31" s="172"/>
      <c r="BDC31" s="172"/>
      <c r="BDD31" s="172"/>
      <c r="BDE31" s="172"/>
      <c r="BDF31" s="172"/>
      <c r="BDG31" s="177"/>
      <c r="BDH31" s="172"/>
      <c r="BDI31" s="172"/>
      <c r="BDJ31" s="172"/>
      <c r="BDK31" s="172"/>
      <c r="BDL31" s="172"/>
      <c r="BDM31" s="175"/>
      <c r="BDN31" s="172"/>
      <c r="BDO31" s="172"/>
      <c r="BDP31" s="172"/>
      <c r="BDQ31" s="172"/>
      <c r="BDR31" s="172"/>
      <c r="BDS31" s="177"/>
      <c r="BDT31" s="172"/>
      <c r="BDU31" s="172"/>
      <c r="BDV31" s="172"/>
      <c r="BDW31" s="172"/>
      <c r="BDX31" s="172"/>
      <c r="BDY31" s="175"/>
      <c r="BDZ31" s="172"/>
      <c r="BEA31" s="172"/>
      <c r="BEB31" s="172"/>
      <c r="BEC31" s="172"/>
      <c r="BED31" s="172"/>
      <c r="BEE31" s="177"/>
      <c r="BEF31" s="172"/>
      <c r="BEG31" s="172"/>
      <c r="BEH31" s="172"/>
      <c r="BEI31" s="172"/>
      <c r="BEJ31" s="172"/>
      <c r="BEK31" s="168"/>
      <c r="BEL31" s="166"/>
      <c r="BEM31" s="166"/>
      <c r="BEN31" s="166"/>
      <c r="BEO31" s="166"/>
      <c r="BEP31" s="166"/>
      <c r="BEQ31" s="169"/>
      <c r="BER31" s="166"/>
      <c r="BES31" s="166"/>
      <c r="BET31" s="166"/>
      <c r="BEU31" s="166"/>
      <c r="BEV31" s="166"/>
      <c r="BEW31" s="170"/>
      <c r="BEX31" s="171"/>
      <c r="BEY31" s="172"/>
      <c r="BEZ31" s="172"/>
      <c r="BFA31" s="172"/>
      <c r="BFB31" s="172"/>
      <c r="BFC31" s="173"/>
      <c r="BFD31" s="172"/>
      <c r="BFE31" s="172"/>
      <c r="BFF31" s="172"/>
      <c r="BFG31" s="172"/>
      <c r="BFH31" s="172"/>
      <c r="BFI31" s="175"/>
      <c r="BFJ31" s="172"/>
      <c r="BFK31" s="172"/>
      <c r="BFL31" s="172"/>
      <c r="BFM31" s="172"/>
      <c r="BFN31" s="172"/>
      <c r="BFO31" s="177"/>
      <c r="BFP31" s="172"/>
      <c r="BFQ31" s="172"/>
      <c r="BFR31" s="172"/>
      <c r="BFS31" s="172"/>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71"/>
      <c r="BHG31" s="172"/>
      <c r="BHH31" s="172"/>
      <c r="BHI31" s="172"/>
      <c r="BHJ31" s="172"/>
      <c r="BHK31" s="173"/>
      <c r="BHL31" s="172"/>
      <c r="BHM31" s="172"/>
      <c r="BHN31" s="172"/>
      <c r="BHO31" s="172"/>
      <c r="BHP31" s="172"/>
      <c r="BHQ31" s="175"/>
      <c r="BHR31" s="172"/>
      <c r="BHS31" s="172"/>
      <c r="BHT31" s="172"/>
      <c r="BHU31" s="172"/>
      <c r="BHV31" s="172"/>
      <c r="BHW31" s="177"/>
      <c r="BHX31" s="172"/>
      <c r="BHY31" s="172"/>
      <c r="BHZ31" s="172"/>
      <c r="BIA31" s="172"/>
      <c r="BIB31" s="172"/>
      <c r="BIC31" s="168"/>
      <c r="BID31" s="166"/>
      <c r="BIE31" s="166"/>
      <c r="BIF31" s="166"/>
      <c r="BIG31" s="166"/>
      <c r="BIH31" s="166"/>
      <c r="BII31" s="169"/>
      <c r="BIJ31" s="166"/>
      <c r="BIK31" s="166"/>
      <c r="BIL31" s="166"/>
      <c r="BIM31" s="166"/>
      <c r="BIN31" s="166"/>
      <c r="BIO31" s="168"/>
      <c r="BIP31" s="166"/>
      <c r="BIQ31" s="166"/>
      <c r="BIR31" s="166"/>
      <c r="BIS31" s="166"/>
      <c r="BIT31" s="166"/>
      <c r="BIU31" s="169"/>
      <c r="BIV31" s="166"/>
      <c r="BIW31" s="166"/>
      <c r="BIX31" s="166"/>
      <c r="BIY31" s="166"/>
      <c r="BIZ31" s="166"/>
      <c r="BJA31" s="168"/>
      <c r="BJB31" s="166"/>
      <c r="BJC31" s="166"/>
      <c r="BJD31" s="166"/>
      <c r="BJE31" s="166"/>
      <c r="BJF31" s="166"/>
      <c r="BJG31" s="169"/>
      <c r="BJH31" s="166"/>
      <c r="BJI31" s="166"/>
      <c r="BJJ31" s="166"/>
      <c r="BJK31" s="166"/>
      <c r="BJL31" s="166"/>
      <c r="BJM31" s="170"/>
    </row>
    <row r="32" spans="1:1625" ht="20.100000000000001" customHeight="1" x14ac:dyDescent="0.3">
      <c r="A32" s="78" t="s">
        <v>51</v>
      </c>
      <c r="B32" s="51" t="str">
        <f>IF(LEN(C49)=0,"",C49)</f>
        <v>Meeting - Expert 1</v>
      </c>
      <c r="C32" s="225"/>
      <c r="D32" s="121" t="str">
        <f t="shared" si="0"/>
        <v>15h 5 min</v>
      </c>
      <c r="E32" s="22">
        <v>181</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99"/>
      <c r="ER32" s="199"/>
      <c r="ES32" s="198"/>
      <c r="ET32" s="199"/>
      <c r="EU32" s="199"/>
      <c r="EV32" s="199"/>
      <c r="EW32" s="199"/>
      <c r="EX32" s="199"/>
      <c r="EY32" s="205"/>
      <c r="EZ32" s="199"/>
      <c r="FA32" s="199"/>
      <c r="FB32" s="199"/>
      <c r="FC32" s="199"/>
      <c r="FD32" s="199"/>
      <c r="FE32" s="198"/>
      <c r="FF32" s="199"/>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203"/>
      <c r="IM32" s="199"/>
      <c r="IN32" s="199"/>
      <c r="IO32" s="199"/>
      <c r="IP32" s="199"/>
      <c r="IQ32" s="204"/>
      <c r="IR32" s="199"/>
      <c r="IS32" s="199"/>
      <c r="IT32" s="199"/>
      <c r="IU32" s="199"/>
      <c r="IV32" s="199"/>
      <c r="IW32" s="198"/>
      <c r="IX32" s="199"/>
      <c r="IY32" s="199"/>
      <c r="IZ32" s="199"/>
      <c r="JA32" s="199"/>
      <c r="JB32" s="199"/>
      <c r="JC32" s="205"/>
      <c r="JD32" s="199"/>
      <c r="JE32" s="199"/>
      <c r="JF32" s="199"/>
      <c r="JG32" s="199"/>
      <c r="JH32" s="199"/>
      <c r="JI32" s="198"/>
      <c r="JJ32" s="199"/>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203"/>
      <c r="KU32" s="199"/>
      <c r="KV32" s="199"/>
      <c r="KW32" s="199"/>
      <c r="KX32" s="199"/>
      <c r="KY32" s="204"/>
      <c r="KZ32" s="199"/>
      <c r="LA32" s="199"/>
      <c r="LB32" s="199"/>
      <c r="LC32" s="199"/>
      <c r="LD32" s="199"/>
      <c r="LE32" s="198"/>
      <c r="LF32" s="199"/>
      <c r="LG32" s="199"/>
      <c r="LH32" s="199"/>
      <c r="LI32" s="199"/>
      <c r="LJ32" s="199"/>
      <c r="LK32" s="205"/>
      <c r="LL32" s="199"/>
      <c r="LM32" s="199"/>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203"/>
      <c r="NC32" s="199"/>
      <c r="ND32" s="199"/>
      <c r="NE32" s="199"/>
      <c r="NF32" s="199"/>
      <c r="NG32" s="204"/>
      <c r="NH32" s="199"/>
      <c r="NI32" s="199"/>
      <c r="NJ32" s="199"/>
      <c r="NK32" s="199"/>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99"/>
      <c r="SW32" s="199"/>
      <c r="SX32" s="199"/>
      <c r="SY32" s="199"/>
      <c r="SZ32" s="199"/>
      <c r="TA32" s="198"/>
      <c r="TB32" s="199"/>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203"/>
      <c r="UA32" s="199"/>
      <c r="UB32" s="199"/>
      <c r="UC32" s="199"/>
      <c r="UD32" s="199"/>
      <c r="UE32" s="204"/>
      <c r="UF32" s="199"/>
      <c r="UG32" s="199"/>
      <c r="UH32" s="199"/>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99"/>
      <c r="XD32" s="199"/>
      <c r="XE32" s="198"/>
      <c r="XF32" s="199"/>
      <c r="XG32" s="199"/>
      <c r="XH32" s="199"/>
      <c r="XI32" s="199"/>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99"/>
      <c r="ACC32" s="199"/>
      <c r="ACD32" s="199"/>
      <c r="ACE32" s="199"/>
      <c r="ACF32" s="199"/>
      <c r="ACG32" s="198"/>
      <c r="ACH32" s="199"/>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203"/>
      <c r="ADG32" s="199"/>
      <c r="ADH32" s="199"/>
      <c r="ADI32" s="199"/>
      <c r="ADJ32" s="199"/>
      <c r="ADK32" s="204"/>
      <c r="ADL32" s="199"/>
      <c r="ADM32" s="199"/>
      <c r="ADN32" s="199"/>
      <c r="ADO32" s="199"/>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203"/>
      <c r="AFO32" s="199"/>
      <c r="AFP32" s="199"/>
      <c r="AFQ32" s="199"/>
      <c r="AFR32" s="199"/>
      <c r="AFS32" s="204"/>
      <c r="AFT32" s="199"/>
      <c r="AFU32" s="199"/>
      <c r="AFV32" s="199"/>
      <c r="AFW32" s="199"/>
      <c r="AFX32" s="199"/>
      <c r="AFY32" s="198"/>
      <c r="AFZ32" s="199"/>
      <c r="AGA32" s="199"/>
      <c r="AGB32" s="199"/>
      <c r="AGC32" s="199"/>
      <c r="AGD32" s="199"/>
      <c r="AGE32" s="205"/>
      <c r="AGF32" s="199"/>
      <c r="AGG32" s="199"/>
      <c r="AGH32" s="182"/>
      <c r="AGI32" s="182"/>
      <c r="AGJ32" s="182"/>
      <c r="AGK32" s="184"/>
      <c r="AGL32" s="182"/>
      <c r="AGM32" s="182"/>
      <c r="AGN32" s="182"/>
      <c r="AGO32" s="182"/>
      <c r="AGP32" s="182"/>
      <c r="AGQ32" s="185"/>
      <c r="AGR32" s="182"/>
      <c r="AGS32" s="182"/>
      <c r="AGT32" s="182"/>
      <c r="AGU32" s="199"/>
      <c r="AGV32" s="199"/>
      <c r="AGW32" s="198"/>
      <c r="AGX32" s="199"/>
      <c r="AGY32" s="199"/>
      <c r="AGZ32" s="199"/>
      <c r="AHA32" s="199"/>
      <c r="AHB32" s="199"/>
      <c r="AHC32" s="205"/>
      <c r="AHD32" s="199"/>
      <c r="AHE32" s="199"/>
      <c r="AHF32" s="199"/>
      <c r="AHG32" s="199"/>
      <c r="AHH32" s="199"/>
      <c r="AHI32" s="184"/>
      <c r="AHJ32" s="182"/>
      <c r="AHK32" s="182"/>
      <c r="AHL32" s="182"/>
      <c r="AHM32" s="182"/>
      <c r="AHN32" s="182"/>
      <c r="AHO32" s="185"/>
      <c r="AHP32" s="182"/>
      <c r="AHQ32" s="182"/>
      <c r="AHR32" s="182"/>
      <c r="AHS32" s="182"/>
      <c r="AHT32" s="182"/>
      <c r="AHU32" s="186"/>
      <c r="AHV32" s="203"/>
      <c r="AHW32" s="199"/>
      <c r="AHX32" s="199"/>
      <c r="AHY32" s="199"/>
      <c r="AHZ32" s="199"/>
      <c r="AIA32" s="204"/>
      <c r="AIB32" s="199"/>
      <c r="AIC32" s="199"/>
      <c r="AID32" s="199"/>
      <c r="AIE32" s="199"/>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99"/>
      <c r="ARK32" s="199"/>
      <c r="ARL32" s="199"/>
      <c r="ARM32" s="198"/>
      <c r="ARN32" s="199"/>
      <c r="ARO32" s="199"/>
      <c r="ARP32" s="199"/>
      <c r="ARQ32" s="199"/>
      <c r="ARR32" s="199"/>
      <c r="ARS32" s="205"/>
      <c r="ART32" s="199"/>
      <c r="ARU32" s="199"/>
      <c r="ARV32" s="199"/>
      <c r="ARW32" s="199"/>
      <c r="ARX32" s="199"/>
      <c r="ARY32" s="198"/>
      <c r="ARZ32" s="199"/>
      <c r="ASA32" s="199"/>
      <c r="ASB32" s="199"/>
      <c r="ASC32" s="199"/>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203"/>
      <c r="AVS32" s="199"/>
      <c r="AVT32" s="199"/>
      <c r="AVU32" s="199"/>
      <c r="AVV32" s="199"/>
      <c r="AVW32" s="204"/>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row>
    <row r="33" spans="1:1625" ht="20.100000000000001" customHeight="1" x14ac:dyDescent="0.25">
      <c r="A33" s="78" t="s">
        <v>50</v>
      </c>
      <c r="B33" s="51" t="str">
        <f>IF(LEN(C51)=0,"",C51)</f>
        <v>Meeting - Expert 2</v>
      </c>
      <c r="C33" s="223" t="s">
        <v>82</v>
      </c>
      <c r="D33" s="119" t="str">
        <f t="shared" si="0"/>
        <v xml:space="preserve"> 50 min</v>
      </c>
      <c r="E33" s="26">
        <v>10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76"/>
      <c r="AYA33" s="174"/>
      <c r="AYB33" s="174"/>
      <c r="AYC33" s="174"/>
      <c r="AYD33" s="174"/>
      <c r="AYE33" s="178"/>
      <c r="AYF33" s="174"/>
      <c r="AYG33" s="174"/>
      <c r="AYH33" s="174"/>
      <c r="AYI33" s="174"/>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59"/>
      <c r="BHG33" s="160"/>
      <c r="BHH33" s="160"/>
      <c r="BHI33" s="160"/>
      <c r="BHJ33" s="160"/>
      <c r="BHK33" s="161"/>
      <c r="BHL33" s="160"/>
      <c r="BHM33" s="160"/>
      <c r="BHN33" s="160"/>
      <c r="BHO33" s="160"/>
      <c r="BHP33" s="160"/>
      <c r="BHQ33" s="162"/>
      <c r="BHR33" s="160"/>
      <c r="BHS33" s="160"/>
      <c r="BHT33" s="160"/>
      <c r="BHU33" s="160"/>
      <c r="BHV33" s="160"/>
      <c r="BHW33" s="163"/>
      <c r="BHX33" s="160"/>
      <c r="BHY33" s="160"/>
      <c r="BHZ33" s="160"/>
      <c r="BIA33" s="160"/>
      <c r="BIB33" s="160"/>
      <c r="BIC33" s="162"/>
      <c r="BID33" s="160"/>
      <c r="BIE33" s="160"/>
      <c r="BIF33" s="160"/>
      <c r="BIG33" s="160"/>
      <c r="BIH33" s="160"/>
      <c r="BII33" s="163"/>
      <c r="BIJ33" s="160"/>
      <c r="BIK33" s="160"/>
      <c r="BIL33" s="160"/>
      <c r="BIM33" s="160"/>
      <c r="BIN33" s="160"/>
      <c r="BIO33" s="162"/>
      <c r="BIP33" s="160"/>
      <c r="BIQ33" s="160"/>
      <c r="BIR33" s="160"/>
      <c r="BIS33" s="160"/>
      <c r="BIT33" s="160"/>
      <c r="BIU33" s="163"/>
      <c r="BIV33" s="160"/>
      <c r="BIW33" s="160"/>
      <c r="BIX33" s="160"/>
      <c r="BIY33" s="160"/>
      <c r="BIZ33" s="160"/>
      <c r="BJA33" s="162"/>
      <c r="BJB33" s="160"/>
      <c r="BJC33" s="160"/>
      <c r="BJD33" s="160"/>
      <c r="BJE33" s="160"/>
      <c r="BJF33" s="160"/>
      <c r="BJG33" s="163"/>
      <c r="BJH33" s="160"/>
      <c r="BJI33" s="160"/>
      <c r="BJJ33" s="160"/>
      <c r="BJK33" s="160"/>
      <c r="BJL33" s="160"/>
      <c r="BJM33" s="164"/>
    </row>
    <row r="34" spans="1:1625" ht="20.100000000000001" customHeight="1" x14ac:dyDescent="0.3">
      <c r="A34" s="78" t="s">
        <v>51</v>
      </c>
      <c r="B34" s="51" t="str">
        <f>IF(LEN(C53)=0,"",C53)</f>
        <v/>
      </c>
      <c r="C34" s="224"/>
      <c r="D34" s="121" t="str">
        <f t="shared" si="0"/>
        <v/>
      </c>
      <c r="E34" s="30">
        <v>0</v>
      </c>
      <c r="F34" s="187"/>
      <c r="G34" s="188"/>
      <c r="H34" s="188"/>
      <c r="I34" s="188"/>
      <c r="J34" s="188"/>
      <c r="K34" s="189"/>
      <c r="L34" s="188"/>
      <c r="M34" s="188"/>
      <c r="N34" s="188"/>
      <c r="O34" s="188"/>
      <c r="P34" s="188"/>
      <c r="Q34" s="190"/>
      <c r="R34" s="188"/>
      <c r="S34" s="188"/>
      <c r="T34" s="188"/>
      <c r="U34" s="188"/>
      <c r="V34" s="188"/>
      <c r="W34" s="191"/>
      <c r="X34" s="188"/>
      <c r="Y34" s="188"/>
      <c r="Z34" s="188"/>
      <c r="AA34" s="188"/>
      <c r="AB34" s="188"/>
      <c r="AC34" s="190"/>
      <c r="AD34" s="188"/>
      <c r="AE34" s="188"/>
      <c r="AF34" s="188"/>
      <c r="AG34" s="188"/>
      <c r="AH34" s="188"/>
      <c r="AI34" s="191"/>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row>
    <row r="35" spans="1:1625" ht="20.100000000000001" customHeight="1" x14ac:dyDescent="0.25">
      <c r="A35" s="78" t="s">
        <v>50</v>
      </c>
      <c r="B35" s="51" t="str">
        <f>IF(LEN(C55)=0,"",C55)</f>
        <v/>
      </c>
      <c r="C35" s="223" t="s">
        <v>74</v>
      </c>
      <c r="D35" s="119" t="str">
        <f t="shared" si="0"/>
        <v>1h 55 min</v>
      </c>
      <c r="E35" s="34">
        <v>23</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72"/>
      <c r="JW35" s="172"/>
      <c r="JX35" s="172"/>
      <c r="JY35" s="172"/>
      <c r="JZ35" s="172"/>
      <c r="KA35" s="177"/>
      <c r="KB35" s="172"/>
      <c r="KC35" s="172"/>
      <c r="KD35" s="172"/>
      <c r="KE35" s="172"/>
      <c r="KF35" s="172"/>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72"/>
      <c r="LE35" s="175"/>
      <c r="LF35" s="172"/>
      <c r="LG35" s="172"/>
      <c r="LH35" s="172"/>
      <c r="LI35" s="172"/>
      <c r="LJ35" s="172"/>
      <c r="LK35" s="177"/>
      <c r="LL35" s="172"/>
      <c r="LM35" s="172"/>
      <c r="LN35" s="172"/>
      <c r="LO35" s="172"/>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65"/>
      <c r="BHG35" s="166"/>
      <c r="BHH35" s="166"/>
      <c r="BHI35" s="166"/>
      <c r="BHJ35" s="166"/>
      <c r="BHK35" s="167"/>
      <c r="BHL35" s="166"/>
      <c r="BHM35" s="166"/>
      <c r="BHN35" s="166"/>
      <c r="BHO35" s="166"/>
      <c r="BHP35" s="166"/>
      <c r="BHQ35" s="168"/>
      <c r="BHR35" s="166"/>
      <c r="BHS35" s="166"/>
      <c r="BHT35" s="166"/>
      <c r="BHU35" s="166"/>
      <c r="BHV35" s="166"/>
      <c r="BHW35" s="169"/>
      <c r="BHX35" s="166"/>
      <c r="BHY35" s="166"/>
      <c r="BHZ35" s="166"/>
      <c r="BIA35" s="166"/>
      <c r="BIB35" s="166"/>
      <c r="BIC35" s="168"/>
      <c r="BID35" s="166"/>
      <c r="BIE35" s="166"/>
      <c r="BIF35" s="166"/>
      <c r="BIG35" s="166"/>
      <c r="BIH35" s="166"/>
      <c r="BII35" s="169"/>
      <c r="BIJ35" s="166"/>
      <c r="BIK35" s="166"/>
      <c r="BIL35" s="166"/>
      <c r="BIM35" s="166"/>
      <c r="BIN35" s="166"/>
      <c r="BIO35" s="168"/>
      <c r="BIP35" s="166"/>
      <c r="BIQ35" s="166"/>
      <c r="BIR35" s="166"/>
      <c r="BIS35" s="166"/>
      <c r="BIT35" s="166"/>
      <c r="BIU35" s="169"/>
      <c r="BIV35" s="166"/>
      <c r="BIW35" s="166"/>
      <c r="BIX35" s="166"/>
      <c r="BIY35" s="166"/>
      <c r="BIZ35" s="166"/>
      <c r="BJA35" s="168"/>
      <c r="BJB35" s="166"/>
      <c r="BJC35" s="166"/>
      <c r="BJD35" s="166"/>
      <c r="BJE35" s="166"/>
      <c r="BJF35" s="166"/>
      <c r="BJG35" s="169"/>
      <c r="BJH35" s="166"/>
      <c r="BJI35" s="166"/>
      <c r="BJJ35" s="166"/>
      <c r="BJK35" s="166"/>
      <c r="BJL35" s="166"/>
      <c r="BJM35" s="170"/>
    </row>
    <row r="36" spans="1:1625" ht="20.100000000000001" customHeight="1" x14ac:dyDescent="0.25">
      <c r="A36" s="78" t="s">
        <v>51</v>
      </c>
      <c r="B36" s="51" t="str">
        <f>IF(LEN(C57)=0,"",C57)</f>
        <v/>
      </c>
      <c r="C36" s="225"/>
      <c r="D36" s="120" t="str">
        <f t="shared" si="0"/>
        <v xml:space="preserve"> 50 min</v>
      </c>
      <c r="E36" s="22">
        <v>10</v>
      </c>
      <c r="F36" s="181"/>
      <c r="G36" s="182"/>
      <c r="H36" s="182"/>
      <c r="I36" s="182"/>
      <c r="J36" s="182"/>
      <c r="K36" s="183"/>
      <c r="L36" s="182"/>
      <c r="M36" s="182"/>
      <c r="N36" s="182"/>
      <c r="O36" s="182"/>
      <c r="P36" s="182"/>
      <c r="Q36" s="184"/>
      <c r="R36" s="182"/>
      <c r="S36" s="182"/>
      <c r="T36" s="182"/>
      <c r="U36" s="182"/>
      <c r="V36" s="182"/>
      <c r="W36" s="185"/>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181"/>
      <c r="DW36" s="182"/>
      <c r="DX36" s="182"/>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181"/>
      <c r="GE36" s="182"/>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99"/>
      <c r="UJ36" s="199"/>
      <c r="UK36" s="198"/>
      <c r="UL36" s="199"/>
      <c r="UM36" s="199"/>
      <c r="UN36" s="199"/>
      <c r="UO36" s="199"/>
      <c r="UP36" s="199"/>
      <c r="UQ36" s="205"/>
      <c r="UR36" s="199"/>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row>
    <row r="37" spans="1:1625" ht="20.100000000000001" customHeight="1" x14ac:dyDescent="0.25">
      <c r="A37" s="78" t="s">
        <v>50</v>
      </c>
      <c r="B37" s="51" t="str">
        <f>IF(LEN(C59)=0,"",C59)</f>
        <v/>
      </c>
      <c r="C37" s="223" t="s">
        <v>102</v>
      </c>
      <c r="D37" s="119" t="str">
        <f t="shared" si="0"/>
        <v>11h 5 min</v>
      </c>
      <c r="E37" s="26">
        <v>133</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80"/>
      <c r="QB37" s="174"/>
      <c r="QC37" s="174"/>
      <c r="QD37" s="174"/>
      <c r="QE37" s="174"/>
      <c r="QF37" s="174"/>
      <c r="QG37" s="179"/>
      <c r="QH37" s="174"/>
      <c r="QI37" s="174"/>
      <c r="QJ37" s="174"/>
      <c r="QK37" s="174"/>
      <c r="QL37" s="174"/>
      <c r="QM37" s="180"/>
      <c r="QN37" s="174"/>
      <c r="QO37" s="174"/>
      <c r="QP37" s="174"/>
      <c r="QQ37" s="174"/>
      <c r="QR37" s="174"/>
      <c r="QS37" s="179"/>
      <c r="QT37" s="174"/>
      <c r="QU37" s="174"/>
      <c r="QV37" s="174"/>
      <c r="QW37" s="174"/>
      <c r="QX37" s="174"/>
      <c r="QY37" s="180"/>
      <c r="QZ37" s="174"/>
      <c r="RA37" s="174"/>
      <c r="RB37" s="174"/>
      <c r="RC37" s="174"/>
      <c r="RD37" s="174"/>
      <c r="RE37" s="162"/>
      <c r="RF37" s="160"/>
      <c r="RG37" s="160"/>
      <c r="RH37" s="160"/>
      <c r="RI37" s="160"/>
      <c r="RJ37" s="160"/>
      <c r="RK37" s="163"/>
      <c r="RL37" s="160"/>
      <c r="RM37" s="160"/>
      <c r="RN37" s="160"/>
      <c r="RO37" s="160"/>
      <c r="RP37" s="160"/>
      <c r="RQ37" s="164"/>
      <c r="RR37" s="176"/>
      <c r="RS37" s="174"/>
      <c r="RT37" s="174"/>
      <c r="RU37" s="174"/>
      <c r="RV37" s="174"/>
      <c r="RW37" s="178"/>
      <c r="RX37" s="174"/>
      <c r="RY37" s="174"/>
      <c r="RZ37" s="174"/>
      <c r="SA37" s="174"/>
      <c r="SB37" s="174"/>
      <c r="SC37" s="179"/>
      <c r="SD37" s="174"/>
      <c r="SE37" s="174"/>
      <c r="SF37" s="174"/>
      <c r="SG37" s="174"/>
      <c r="SH37" s="174"/>
      <c r="SI37" s="180"/>
      <c r="SJ37" s="174"/>
      <c r="SK37" s="174"/>
      <c r="SL37" s="174"/>
      <c r="SM37" s="174"/>
      <c r="SN37" s="174"/>
      <c r="SO37" s="179"/>
      <c r="SP37" s="174"/>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76"/>
      <c r="ARC37" s="174"/>
      <c r="ARD37" s="174"/>
      <c r="ARE37" s="174"/>
      <c r="ARF37" s="174"/>
      <c r="ARG37" s="178"/>
      <c r="ARH37" s="174"/>
      <c r="ARI37" s="174"/>
      <c r="ARJ37" s="174"/>
      <c r="ARK37" s="174"/>
      <c r="ARL37" s="174"/>
      <c r="ARM37" s="179"/>
      <c r="ARN37" s="174"/>
      <c r="ARO37" s="174"/>
      <c r="ARP37" s="174"/>
      <c r="ARQ37" s="174"/>
      <c r="ARR37" s="174"/>
      <c r="ARS37" s="180"/>
      <c r="ART37" s="174"/>
      <c r="ARU37" s="174"/>
      <c r="ARV37" s="174"/>
      <c r="ARW37" s="174"/>
      <c r="ARX37" s="174"/>
      <c r="ARY37" s="179"/>
      <c r="ARZ37" s="174"/>
      <c r="ASA37" s="174"/>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76"/>
      <c r="ATK37" s="174"/>
      <c r="ATL37" s="174"/>
      <c r="ATM37" s="174"/>
      <c r="ATN37" s="174"/>
      <c r="ATO37" s="178"/>
      <c r="ATP37" s="174"/>
      <c r="ATQ37" s="174"/>
      <c r="ATR37" s="174"/>
      <c r="ATS37" s="174"/>
      <c r="ATT37" s="174"/>
      <c r="ATU37" s="179"/>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76"/>
      <c r="AVS37" s="174"/>
      <c r="AVT37" s="174"/>
      <c r="AVU37" s="174"/>
      <c r="AVV37" s="174"/>
      <c r="AVW37" s="178"/>
      <c r="AVX37" s="174"/>
      <c r="AVY37" s="174"/>
      <c r="AVZ37" s="174"/>
      <c r="AWA37" s="174"/>
      <c r="AWB37" s="174"/>
      <c r="AWC37" s="179"/>
      <c r="AWD37" s="174"/>
      <c r="AWE37" s="174"/>
      <c r="AWF37" s="174"/>
      <c r="AWG37" s="174"/>
      <c r="AWH37" s="174"/>
      <c r="AWI37" s="180"/>
      <c r="AWJ37" s="174"/>
      <c r="AWK37" s="174"/>
      <c r="AWL37" s="174"/>
      <c r="AWM37" s="174"/>
      <c r="AWN37" s="174"/>
      <c r="AWO37" s="179"/>
      <c r="AWP37" s="174"/>
      <c r="AWQ37" s="174"/>
      <c r="AWR37" s="174"/>
      <c r="AWS37" s="174"/>
      <c r="AWT37" s="174"/>
      <c r="AWU37" s="180"/>
      <c r="AWV37" s="174"/>
      <c r="AWW37" s="174"/>
      <c r="AWX37" s="174"/>
      <c r="AWY37" s="174"/>
      <c r="AWZ37" s="174"/>
      <c r="AXA37" s="179"/>
      <c r="AXB37" s="174"/>
      <c r="AXC37" s="174"/>
      <c r="AXD37" s="174"/>
      <c r="AXE37" s="174"/>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59"/>
      <c r="BHG37" s="160"/>
      <c r="BHH37" s="160"/>
      <c r="BHI37" s="160"/>
      <c r="BHJ37" s="160"/>
      <c r="BHK37" s="161"/>
      <c r="BHL37" s="160"/>
      <c r="BHM37" s="160"/>
      <c r="BHN37" s="160"/>
      <c r="BHO37" s="160"/>
      <c r="BHP37" s="160"/>
      <c r="BHQ37" s="162"/>
      <c r="BHR37" s="160"/>
      <c r="BHS37" s="160"/>
      <c r="BHT37" s="160"/>
      <c r="BHU37" s="160"/>
      <c r="BHV37" s="160"/>
      <c r="BHW37" s="163"/>
      <c r="BHX37" s="160"/>
      <c r="BHY37" s="160"/>
      <c r="BHZ37" s="160"/>
      <c r="BIA37" s="160"/>
      <c r="BIB37" s="160"/>
      <c r="BIC37" s="162"/>
      <c r="BID37" s="160"/>
      <c r="BIE37" s="160"/>
      <c r="BIF37" s="160"/>
      <c r="BIG37" s="160"/>
      <c r="BIH37" s="160"/>
      <c r="BII37" s="163"/>
      <c r="BIJ37" s="160"/>
      <c r="BIK37" s="160"/>
      <c r="BIL37" s="160"/>
      <c r="BIM37" s="160"/>
      <c r="BIN37" s="160"/>
      <c r="BIO37" s="162"/>
      <c r="BIP37" s="160"/>
      <c r="BIQ37" s="160"/>
      <c r="BIR37" s="160"/>
      <c r="BIS37" s="160"/>
      <c r="BIT37" s="160"/>
      <c r="BIU37" s="163"/>
      <c r="BIV37" s="160"/>
      <c r="BIW37" s="160"/>
      <c r="BIX37" s="160"/>
      <c r="BIY37" s="160"/>
      <c r="BIZ37" s="160"/>
      <c r="BJA37" s="162"/>
      <c r="BJB37" s="160"/>
      <c r="BJC37" s="160"/>
      <c r="BJD37" s="160"/>
      <c r="BJE37" s="160"/>
      <c r="BJF37" s="160"/>
      <c r="BJG37" s="163"/>
      <c r="BJH37" s="160"/>
      <c r="BJI37" s="160"/>
      <c r="BJJ37" s="160"/>
      <c r="BJK37" s="160"/>
      <c r="BJL37" s="160"/>
      <c r="BJM37" s="164"/>
    </row>
    <row r="38" spans="1:1625" ht="20.100000000000001" customHeight="1" x14ac:dyDescent="0.3">
      <c r="A38" s="78" t="s">
        <v>51</v>
      </c>
      <c r="B38" s="51" t="str">
        <f>IF(LEN(C61)=0,"",C61)</f>
        <v/>
      </c>
      <c r="C38" s="225"/>
      <c r="D38" s="121" t="str">
        <f t="shared" si="0"/>
        <v>5h</v>
      </c>
      <c r="E38" s="30">
        <v>60</v>
      </c>
      <c r="F38" s="187"/>
      <c r="G38" s="188"/>
      <c r="H38" s="188"/>
      <c r="I38" s="188"/>
      <c r="J38" s="188"/>
      <c r="K38" s="189"/>
      <c r="L38" s="188"/>
      <c r="M38" s="188"/>
      <c r="N38" s="188"/>
      <c r="O38" s="188"/>
      <c r="P38" s="188"/>
      <c r="Q38" s="190"/>
      <c r="R38" s="188"/>
      <c r="S38" s="188"/>
      <c r="T38" s="188"/>
      <c r="U38" s="188"/>
      <c r="V38" s="188"/>
      <c r="W38" s="191"/>
      <c r="X38" s="188"/>
      <c r="Y38" s="188"/>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94"/>
      <c r="NM38" s="196"/>
      <c r="NN38" s="194"/>
      <c r="NO38" s="194"/>
      <c r="NP38" s="194"/>
      <c r="NQ38" s="194"/>
      <c r="NR38" s="194"/>
      <c r="NS38" s="197"/>
      <c r="NT38" s="194"/>
      <c r="NU38" s="194"/>
      <c r="NV38" s="194"/>
      <c r="NW38" s="194"/>
      <c r="NX38" s="194"/>
      <c r="NY38" s="196"/>
      <c r="NZ38" s="194"/>
      <c r="OA38" s="194"/>
      <c r="OB38" s="194"/>
      <c r="OC38" s="194"/>
      <c r="OD38" s="194"/>
      <c r="OE38" s="197"/>
      <c r="OF38" s="194"/>
      <c r="OG38" s="194"/>
      <c r="OH38" s="194"/>
      <c r="OI38" s="194"/>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95"/>
      <c r="RX38" s="194"/>
      <c r="RY38" s="194"/>
      <c r="RZ38" s="194"/>
      <c r="SA38" s="194"/>
      <c r="SB38" s="194"/>
      <c r="SC38" s="196"/>
      <c r="SD38" s="194"/>
      <c r="SE38" s="194"/>
      <c r="SF38" s="194"/>
      <c r="SG38" s="194"/>
      <c r="SH38" s="194"/>
      <c r="SI38" s="197"/>
      <c r="SJ38" s="194"/>
      <c r="SK38" s="194"/>
      <c r="SL38" s="194"/>
      <c r="SM38" s="194"/>
      <c r="SN38" s="194"/>
      <c r="SO38" s="196"/>
      <c r="SP38" s="194"/>
      <c r="SQ38" s="194"/>
      <c r="SR38" s="194"/>
      <c r="SS38" s="194"/>
      <c r="ST38" s="194"/>
      <c r="SU38" s="197"/>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93"/>
      <c r="ATK38" s="194"/>
      <c r="ATL38" s="194"/>
      <c r="ATM38" s="194"/>
      <c r="ATN38" s="194"/>
      <c r="ATO38" s="195"/>
      <c r="ATP38" s="194"/>
      <c r="ATQ38" s="194"/>
      <c r="ATR38" s="194"/>
      <c r="ATS38" s="194"/>
      <c r="ATT38" s="194"/>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row>
    <row r="39" spans="1:1625" ht="20.100000000000001" customHeight="1" x14ac:dyDescent="0.25">
      <c r="A39" s="78" t="s">
        <v>50</v>
      </c>
      <c r="B39" s="51" t="str">
        <f>IF(LEN(C63)=0,"",C63)</f>
        <v/>
      </c>
      <c r="C39" s="223" t="s">
        <v>88</v>
      </c>
      <c r="D39" s="119" t="str">
        <f t="shared" si="0"/>
        <v xml:space="preserve"> 35 min</v>
      </c>
      <c r="E39" s="34">
        <v>7</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72"/>
      <c r="GZ39" s="172"/>
      <c r="HA39" s="175"/>
      <c r="HB39" s="172"/>
      <c r="HC39" s="172"/>
      <c r="HD39" s="172"/>
      <c r="HE39" s="172"/>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65"/>
      <c r="BHG39" s="166"/>
      <c r="BHH39" s="166"/>
      <c r="BHI39" s="166"/>
      <c r="BHJ39" s="166"/>
      <c r="BHK39" s="167"/>
      <c r="BHL39" s="166"/>
      <c r="BHM39" s="166"/>
      <c r="BHN39" s="166"/>
      <c r="BHO39" s="166"/>
      <c r="BHP39" s="166"/>
      <c r="BHQ39" s="168"/>
      <c r="BHR39" s="166"/>
      <c r="BHS39" s="166"/>
      <c r="BHT39" s="166"/>
      <c r="BHU39" s="166"/>
      <c r="BHV39" s="166"/>
      <c r="BHW39" s="169"/>
      <c r="BHX39" s="166"/>
      <c r="BHY39" s="166"/>
      <c r="BHZ39" s="166"/>
      <c r="BIA39" s="166"/>
      <c r="BIB39" s="166"/>
      <c r="BIC39" s="168"/>
      <c r="BID39" s="166"/>
      <c r="BIE39" s="166"/>
      <c r="BIF39" s="166"/>
      <c r="BIG39" s="166"/>
      <c r="BIH39" s="166"/>
      <c r="BII39" s="169"/>
      <c r="BIJ39" s="166"/>
      <c r="BIK39" s="166"/>
      <c r="BIL39" s="166"/>
      <c r="BIM39" s="166"/>
      <c r="BIN39" s="166"/>
      <c r="BIO39" s="168"/>
      <c r="BIP39" s="166"/>
      <c r="BIQ39" s="166"/>
      <c r="BIR39" s="166"/>
      <c r="BIS39" s="166"/>
      <c r="BIT39" s="166"/>
      <c r="BIU39" s="169"/>
      <c r="BIV39" s="166"/>
      <c r="BIW39" s="166"/>
      <c r="BIX39" s="166"/>
      <c r="BIY39" s="166"/>
      <c r="BIZ39" s="166"/>
      <c r="BJA39" s="168"/>
      <c r="BJB39" s="166"/>
      <c r="BJC39" s="166"/>
      <c r="BJD39" s="166"/>
      <c r="BJE39" s="166"/>
      <c r="BJF39" s="166"/>
      <c r="BJG39" s="169"/>
      <c r="BJH39" s="166"/>
      <c r="BJI39" s="166"/>
      <c r="BJJ39" s="166"/>
      <c r="BJK39" s="166"/>
      <c r="BJL39" s="166"/>
      <c r="BJM39" s="170"/>
    </row>
    <row r="40" spans="1:1625" ht="20.100000000000001" customHeight="1" x14ac:dyDescent="0.25">
      <c r="A40" s="78" t="s">
        <v>51</v>
      </c>
      <c r="B40" s="51" t="str">
        <f>IF(LEN(C65)=0,"",C65)</f>
        <v/>
      </c>
      <c r="C40" s="225"/>
      <c r="D40" s="120" t="str">
        <f t="shared" si="0"/>
        <v xml:space="preserve"> 40 min</v>
      </c>
      <c r="E40" s="22">
        <v>8</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99"/>
      <c r="EE40" s="199"/>
      <c r="EF40" s="199"/>
      <c r="EG40" s="198"/>
      <c r="EH40" s="199"/>
      <c r="EI40" s="199"/>
      <c r="EJ40" s="199"/>
      <c r="EK40" s="199"/>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row>
    <row r="41" spans="1:1625" ht="20.100000000000001" customHeight="1" x14ac:dyDescent="0.25">
      <c r="A41" s="78" t="s">
        <v>50</v>
      </c>
      <c r="B41" s="51" t="str">
        <f>IF(LEN(C67)=0,"",C67)</f>
        <v/>
      </c>
      <c r="C41" s="223" t="s">
        <v>75</v>
      </c>
      <c r="D41" s="119" t="str">
        <f t="shared" si="0"/>
        <v>12h 50 min</v>
      </c>
      <c r="E41" s="26">
        <v>154</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76"/>
      <c r="NC41" s="174"/>
      <c r="ND41" s="174"/>
      <c r="NE41" s="174"/>
      <c r="NF41" s="174"/>
      <c r="NG41" s="178"/>
      <c r="NH41" s="174"/>
      <c r="NI41" s="174"/>
      <c r="NJ41" s="174"/>
      <c r="NK41" s="174"/>
      <c r="NL41" s="174"/>
      <c r="NM41" s="179"/>
      <c r="NN41" s="174"/>
      <c r="NO41" s="174"/>
      <c r="NP41" s="174"/>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74"/>
      <c r="UY41" s="174"/>
      <c r="UZ41" s="174"/>
      <c r="VA41" s="174"/>
      <c r="VB41" s="174"/>
      <c r="VC41" s="180"/>
      <c r="VD41" s="174"/>
      <c r="VE41" s="174"/>
      <c r="VF41" s="174"/>
      <c r="VG41" s="174"/>
      <c r="VH41" s="174"/>
      <c r="VI41" s="179"/>
      <c r="VJ41" s="174"/>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76"/>
      <c r="WI41" s="174"/>
      <c r="WJ41" s="174"/>
      <c r="WK41" s="174"/>
      <c r="WL41" s="174"/>
      <c r="WM41" s="178"/>
      <c r="WN41" s="174"/>
      <c r="WO41" s="174"/>
      <c r="WP41" s="174"/>
      <c r="WQ41" s="174"/>
      <c r="WR41" s="174"/>
      <c r="WS41" s="179"/>
      <c r="WT41" s="174"/>
      <c r="WU41" s="174"/>
      <c r="WV41" s="174"/>
      <c r="WW41" s="174"/>
      <c r="WX41" s="174"/>
      <c r="WY41" s="180"/>
      <c r="WZ41" s="174"/>
      <c r="XA41" s="174"/>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74"/>
      <c r="ZM41" s="179"/>
      <c r="ZN41" s="174"/>
      <c r="ZO41" s="174"/>
      <c r="ZP41" s="174"/>
      <c r="ZQ41" s="174"/>
      <c r="ZR41" s="174"/>
      <c r="ZS41" s="180"/>
      <c r="ZT41" s="174"/>
      <c r="ZU41" s="174"/>
      <c r="ZV41" s="174"/>
      <c r="ZW41" s="174"/>
      <c r="ZX41" s="174"/>
      <c r="ZY41" s="179"/>
      <c r="ZZ41" s="174"/>
      <c r="AAA41" s="174"/>
      <c r="AAB41" s="174"/>
      <c r="AAC41" s="174"/>
      <c r="AAD41" s="174"/>
      <c r="AAE41" s="180"/>
      <c r="AAF41" s="174"/>
      <c r="AAG41" s="174"/>
      <c r="AAH41" s="174"/>
      <c r="AAI41" s="174"/>
      <c r="AAJ41" s="174"/>
      <c r="AAK41" s="162"/>
      <c r="AAL41" s="160"/>
      <c r="AAM41" s="160"/>
      <c r="AAN41" s="160"/>
      <c r="AAO41" s="160"/>
      <c r="AAP41" s="160"/>
      <c r="AAQ41" s="163"/>
      <c r="AAR41" s="160"/>
      <c r="AAS41" s="160"/>
      <c r="AAT41" s="160"/>
      <c r="AAU41" s="160"/>
      <c r="AAV41" s="160"/>
      <c r="AAW41" s="164"/>
      <c r="AAX41" s="176"/>
      <c r="AAY41" s="174"/>
      <c r="AAZ41" s="174"/>
      <c r="ABA41" s="174"/>
      <c r="ABB41" s="174"/>
      <c r="ABC41" s="178"/>
      <c r="ABD41" s="174"/>
      <c r="ABE41" s="174"/>
      <c r="ABF41" s="174"/>
      <c r="ABG41" s="174"/>
      <c r="ABH41" s="174"/>
      <c r="ABI41" s="179"/>
      <c r="ABJ41" s="174"/>
      <c r="ABK41" s="174"/>
      <c r="ABL41" s="174"/>
      <c r="ABM41" s="174"/>
      <c r="ABN41" s="174"/>
      <c r="ABO41" s="180"/>
      <c r="ABP41" s="174"/>
      <c r="ABQ41" s="174"/>
      <c r="ABR41" s="174"/>
      <c r="ABS41" s="174"/>
      <c r="ABT41" s="174"/>
      <c r="ABU41" s="179"/>
      <c r="ABV41" s="174"/>
      <c r="ABW41" s="174"/>
      <c r="ABX41" s="174"/>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74"/>
      <c r="ADO41" s="174"/>
      <c r="ADP41" s="174"/>
      <c r="ADQ41" s="179"/>
      <c r="ADR41" s="174"/>
      <c r="ADS41" s="174"/>
      <c r="ADT41" s="174"/>
      <c r="ADU41" s="174"/>
      <c r="ADV41" s="174"/>
      <c r="ADW41" s="180"/>
      <c r="ADX41" s="174"/>
      <c r="ADY41" s="174"/>
      <c r="ADZ41" s="174"/>
      <c r="AEA41" s="174"/>
      <c r="AEB41" s="174"/>
      <c r="AEC41" s="179"/>
      <c r="AED41" s="174"/>
      <c r="AEE41" s="174"/>
      <c r="AEF41" s="174"/>
      <c r="AEG41" s="174"/>
      <c r="AEH41" s="174"/>
      <c r="AEI41" s="180"/>
      <c r="AEJ41" s="174"/>
      <c r="AEK41" s="174"/>
      <c r="AEL41" s="174"/>
      <c r="AEM41" s="174"/>
      <c r="AEN41" s="174"/>
      <c r="AEO41" s="179"/>
      <c r="AEP41" s="174"/>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74"/>
      <c r="AGK41" s="179"/>
      <c r="AGL41" s="174"/>
      <c r="AGM41" s="174"/>
      <c r="AGN41" s="174"/>
      <c r="AGO41" s="174"/>
      <c r="AGP41" s="174"/>
      <c r="AGQ41" s="180"/>
      <c r="AGR41" s="174"/>
      <c r="AGS41" s="174"/>
      <c r="AGT41" s="174"/>
      <c r="AGU41" s="174"/>
      <c r="AGV41" s="174"/>
      <c r="AGW41" s="179"/>
      <c r="AGX41" s="174"/>
      <c r="AGY41" s="174"/>
      <c r="AGZ41" s="174"/>
      <c r="AHA41" s="174"/>
      <c r="AHB41" s="174"/>
      <c r="AHC41" s="180"/>
      <c r="AHD41" s="174"/>
      <c r="AHE41" s="174"/>
      <c r="AHF41" s="174"/>
      <c r="AHG41" s="174"/>
      <c r="AHH41" s="174"/>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59"/>
      <c r="BHG41" s="160"/>
      <c r="BHH41" s="160"/>
      <c r="BHI41" s="160"/>
      <c r="BHJ41" s="160"/>
      <c r="BHK41" s="161"/>
      <c r="BHL41" s="160"/>
      <c r="BHM41" s="160"/>
      <c r="BHN41" s="160"/>
      <c r="BHO41" s="160"/>
      <c r="BHP41" s="160"/>
      <c r="BHQ41" s="162"/>
      <c r="BHR41" s="160"/>
      <c r="BHS41" s="160"/>
      <c r="BHT41" s="160"/>
      <c r="BHU41" s="160"/>
      <c r="BHV41" s="160"/>
      <c r="BHW41" s="163"/>
      <c r="BHX41" s="160"/>
      <c r="BHY41" s="160"/>
      <c r="BHZ41" s="160"/>
      <c r="BIA41" s="160"/>
      <c r="BIB41" s="160"/>
      <c r="BIC41" s="162"/>
      <c r="BID41" s="160"/>
      <c r="BIE41" s="160"/>
      <c r="BIF41" s="160"/>
      <c r="BIG41" s="160"/>
      <c r="BIH41" s="160"/>
      <c r="BII41" s="163"/>
      <c r="BIJ41" s="160"/>
      <c r="BIK41" s="160"/>
      <c r="BIL41" s="160"/>
      <c r="BIM41" s="160"/>
      <c r="BIN41" s="160"/>
      <c r="BIO41" s="162"/>
      <c r="BIP41" s="160"/>
      <c r="BIQ41" s="160"/>
      <c r="BIR41" s="160"/>
      <c r="BIS41" s="160"/>
      <c r="BIT41" s="160"/>
      <c r="BIU41" s="163"/>
      <c r="BIV41" s="160"/>
      <c r="BIW41" s="160"/>
      <c r="BIX41" s="160"/>
      <c r="BIY41" s="160"/>
      <c r="BIZ41" s="160"/>
      <c r="BJA41" s="162"/>
      <c r="BJB41" s="160"/>
      <c r="BJC41" s="160"/>
      <c r="BJD41" s="160"/>
      <c r="BJE41" s="160"/>
      <c r="BJF41" s="160"/>
      <c r="BJG41" s="163"/>
      <c r="BJH41" s="160"/>
      <c r="BJI41" s="160"/>
      <c r="BJJ41" s="160"/>
      <c r="BJK41" s="160"/>
      <c r="BJL41" s="160"/>
      <c r="BJM41" s="164"/>
    </row>
    <row r="42" spans="1:1625" ht="20.100000000000001" customHeight="1" x14ac:dyDescent="0.3">
      <c r="A42" s="78" t="s">
        <v>51</v>
      </c>
      <c r="B42" s="51" t="str">
        <f>IF(LEN(C69)=0,"",C69)</f>
        <v/>
      </c>
      <c r="C42" s="224"/>
      <c r="D42" s="121" t="str">
        <f t="shared" si="0"/>
        <v>15h 40 min</v>
      </c>
      <c r="E42" s="30">
        <v>188</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94"/>
      <c r="UY42" s="194"/>
      <c r="UZ42" s="194"/>
      <c r="VA42" s="194"/>
      <c r="VB42" s="194"/>
      <c r="VC42" s="197"/>
      <c r="VD42" s="194"/>
      <c r="VE42" s="194"/>
      <c r="VF42" s="194"/>
      <c r="VG42" s="194"/>
      <c r="VH42" s="194"/>
      <c r="VI42" s="196"/>
      <c r="VJ42" s="194"/>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93"/>
      <c r="WI42" s="194"/>
      <c r="WJ42" s="194"/>
      <c r="WK42" s="194"/>
      <c r="WL42" s="194"/>
      <c r="WM42" s="195"/>
      <c r="WN42" s="194"/>
      <c r="WO42" s="194"/>
      <c r="WP42" s="194"/>
      <c r="WQ42" s="194"/>
      <c r="WR42" s="194"/>
      <c r="WS42" s="196"/>
      <c r="WT42" s="194"/>
      <c r="WU42" s="194"/>
      <c r="WV42" s="194"/>
      <c r="WW42" s="194"/>
      <c r="WX42" s="194"/>
      <c r="WY42" s="197"/>
      <c r="WZ42" s="194"/>
      <c r="XA42" s="194"/>
      <c r="XB42" s="194"/>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94"/>
      <c r="YZ42" s="194"/>
      <c r="ZA42" s="196"/>
      <c r="ZB42" s="194"/>
      <c r="ZC42" s="194"/>
      <c r="ZD42" s="194"/>
      <c r="ZE42" s="194"/>
      <c r="ZF42" s="194"/>
      <c r="ZG42" s="197"/>
      <c r="ZH42" s="194"/>
      <c r="ZI42" s="194"/>
      <c r="ZJ42" s="194"/>
      <c r="ZK42" s="194"/>
      <c r="ZL42" s="194"/>
      <c r="ZM42" s="196"/>
      <c r="ZN42" s="194"/>
      <c r="ZO42" s="194"/>
      <c r="ZP42" s="194"/>
      <c r="ZQ42" s="194"/>
      <c r="ZR42" s="194"/>
      <c r="ZS42" s="197"/>
      <c r="ZT42" s="194"/>
      <c r="ZU42" s="194"/>
      <c r="ZV42" s="194"/>
      <c r="ZW42" s="194"/>
      <c r="ZX42" s="194"/>
      <c r="ZY42" s="196"/>
      <c r="ZZ42" s="194"/>
      <c r="AAA42" s="194"/>
      <c r="AAB42" s="194"/>
      <c r="AAC42" s="194"/>
      <c r="AAD42" s="194"/>
      <c r="AAE42" s="197"/>
      <c r="AAF42" s="194"/>
      <c r="AAG42" s="194"/>
      <c r="AAH42" s="194"/>
      <c r="AAI42" s="194"/>
      <c r="AAJ42" s="194"/>
      <c r="AAK42" s="190"/>
      <c r="AAL42" s="188"/>
      <c r="AAM42" s="188"/>
      <c r="AAN42" s="188"/>
      <c r="AAO42" s="188"/>
      <c r="AAP42" s="188"/>
      <c r="AAQ42" s="191"/>
      <c r="AAR42" s="188"/>
      <c r="AAS42" s="188"/>
      <c r="AAT42" s="188"/>
      <c r="AAU42" s="188"/>
      <c r="AAV42" s="188"/>
      <c r="AAW42" s="192"/>
      <c r="AAX42" s="193"/>
      <c r="AAY42" s="194"/>
      <c r="AAZ42" s="194"/>
      <c r="ABA42" s="194"/>
      <c r="ABB42" s="194"/>
      <c r="ABC42" s="195"/>
      <c r="ABD42" s="194"/>
      <c r="ABE42" s="194"/>
      <c r="ABF42" s="194"/>
      <c r="ABG42" s="194"/>
      <c r="ABH42" s="194"/>
      <c r="ABI42" s="196"/>
      <c r="ABJ42" s="194"/>
      <c r="ABK42" s="194"/>
      <c r="ABL42" s="194"/>
      <c r="ABM42" s="194"/>
      <c r="ABN42" s="194"/>
      <c r="ABO42" s="197"/>
      <c r="ABP42" s="194"/>
      <c r="ABQ42" s="194"/>
      <c r="ABR42" s="194"/>
      <c r="ABS42" s="194"/>
      <c r="ABT42" s="194"/>
      <c r="ABU42" s="196"/>
      <c r="ABV42" s="194"/>
      <c r="ABW42" s="194"/>
      <c r="ABX42" s="194"/>
      <c r="ABY42" s="194"/>
      <c r="ABZ42" s="194"/>
      <c r="ACA42" s="197"/>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94"/>
      <c r="AEF42" s="194"/>
      <c r="AEG42" s="194"/>
      <c r="AEH42" s="194"/>
      <c r="AEI42" s="197"/>
      <c r="AEJ42" s="194"/>
      <c r="AEK42" s="194"/>
      <c r="AEL42" s="194"/>
      <c r="AEM42" s="194"/>
      <c r="AEN42" s="194"/>
      <c r="AEO42" s="196"/>
      <c r="AEP42" s="194"/>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94"/>
      <c r="AGI42" s="194"/>
      <c r="AGJ42" s="194"/>
      <c r="AGK42" s="196"/>
      <c r="AGL42" s="194"/>
      <c r="AGM42" s="194"/>
      <c r="AGN42" s="194"/>
      <c r="AGO42" s="194"/>
      <c r="AGP42" s="194"/>
      <c r="AGQ42" s="197"/>
      <c r="AGR42" s="194"/>
      <c r="AGS42" s="194"/>
      <c r="AGT42" s="194"/>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94"/>
      <c r="AIG42" s="196"/>
      <c r="AIH42" s="194"/>
      <c r="AII42" s="194"/>
      <c r="AIJ42" s="194"/>
      <c r="AIK42" s="194"/>
      <c r="AIL42" s="194"/>
      <c r="AIM42" s="197"/>
      <c r="AIN42" s="194"/>
      <c r="AIO42" s="194"/>
      <c r="AIP42" s="194"/>
      <c r="AIQ42" s="194"/>
      <c r="AIR42" s="194"/>
      <c r="AIS42" s="196"/>
      <c r="AIT42" s="194"/>
      <c r="AIU42" s="194"/>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188"/>
      <c r="AKN42" s="188"/>
      <c r="AKO42" s="190"/>
      <c r="AKP42" s="188"/>
      <c r="AKQ42" s="188"/>
      <c r="AKR42" s="188"/>
      <c r="AKS42" s="188"/>
      <c r="AKT42" s="188"/>
      <c r="AKU42" s="191"/>
      <c r="AKV42" s="188"/>
      <c r="AKW42" s="188"/>
      <c r="AKX42" s="188"/>
      <c r="AKY42" s="188"/>
      <c r="AKZ42" s="188"/>
      <c r="ALA42" s="190"/>
      <c r="ALB42" s="188"/>
      <c r="ALC42" s="188"/>
      <c r="ALD42" s="188"/>
      <c r="ALE42" s="188"/>
      <c r="ALF42" s="188"/>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94"/>
      <c r="ANA42" s="194"/>
      <c r="ANB42" s="194"/>
      <c r="ANC42" s="197"/>
      <c r="AND42" s="194"/>
      <c r="ANE42" s="194"/>
      <c r="ANF42" s="194"/>
      <c r="ANG42" s="194"/>
      <c r="ANH42" s="194"/>
      <c r="ANI42" s="196"/>
      <c r="ANJ42" s="194"/>
      <c r="ANK42" s="194"/>
      <c r="ANL42" s="194"/>
      <c r="ANM42" s="194"/>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93"/>
      <c r="AOU42" s="194"/>
      <c r="AOV42" s="194"/>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93"/>
      <c r="ARC42" s="194"/>
      <c r="ARD42" s="194"/>
      <c r="ARE42" s="194"/>
      <c r="ARF42" s="194"/>
      <c r="ARG42" s="195"/>
      <c r="ARH42" s="194"/>
      <c r="ARI42" s="194"/>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6"/>
      <c r="ATV42" s="194"/>
      <c r="ATW42" s="194"/>
      <c r="ATX42" s="194"/>
      <c r="ATY42" s="194"/>
      <c r="ATZ42" s="194"/>
      <c r="AUA42" s="197"/>
      <c r="AUB42" s="194"/>
      <c r="AUC42" s="194"/>
      <c r="AUD42" s="194"/>
      <c r="AUE42" s="194"/>
      <c r="AUF42" s="194"/>
      <c r="AUG42" s="196"/>
      <c r="AUH42" s="194"/>
      <c r="AUI42" s="194"/>
      <c r="AUJ42" s="194"/>
      <c r="AUK42" s="194"/>
      <c r="AUL42" s="194"/>
      <c r="AUM42" s="197"/>
      <c r="AUN42" s="194"/>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row>
    <row r="43" spans="1:1625" ht="20.100000000000001" customHeight="1" x14ac:dyDescent="0.25">
      <c r="A43" s="78" t="s">
        <v>50</v>
      </c>
      <c r="B43" s="51" t="str">
        <f>IF(LEN(C71)=0,"",C71)</f>
        <v/>
      </c>
      <c r="C43" s="223" t="s">
        <v>77</v>
      </c>
      <c r="D43" s="119" t="str">
        <f t="shared" si="0"/>
        <v xml:space="preserve"> 55 min</v>
      </c>
      <c r="E43" s="26">
        <v>11</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76"/>
      <c r="PK43" s="174"/>
      <c r="PL43" s="174"/>
      <c r="PM43" s="174"/>
      <c r="PN43" s="174"/>
      <c r="PO43" s="178"/>
      <c r="PP43" s="174"/>
      <c r="PQ43" s="174"/>
      <c r="PR43" s="174"/>
      <c r="PS43" s="174"/>
      <c r="PT43" s="174"/>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59"/>
      <c r="BHG43" s="160"/>
      <c r="BHH43" s="160"/>
      <c r="BHI43" s="160"/>
      <c r="BHJ43" s="160"/>
      <c r="BHK43" s="161"/>
      <c r="BHL43" s="160"/>
      <c r="BHM43" s="160"/>
      <c r="BHN43" s="160"/>
      <c r="BHO43" s="160"/>
      <c r="BHP43" s="160"/>
      <c r="BHQ43" s="162"/>
      <c r="BHR43" s="160"/>
      <c r="BHS43" s="160"/>
      <c r="BHT43" s="160"/>
      <c r="BHU43" s="160"/>
      <c r="BHV43" s="160"/>
      <c r="BHW43" s="163"/>
      <c r="BHX43" s="160"/>
      <c r="BHY43" s="160"/>
      <c r="BHZ43" s="160"/>
      <c r="BIA43" s="160"/>
      <c r="BIB43" s="160"/>
      <c r="BIC43" s="162"/>
      <c r="BID43" s="160"/>
      <c r="BIE43" s="160"/>
      <c r="BIF43" s="160"/>
      <c r="BIG43" s="160"/>
      <c r="BIH43" s="160"/>
      <c r="BII43" s="163"/>
      <c r="BIJ43" s="160"/>
      <c r="BIK43" s="160"/>
      <c r="BIL43" s="160"/>
      <c r="BIM43" s="160"/>
      <c r="BIN43" s="160"/>
      <c r="BIO43" s="162"/>
      <c r="BIP43" s="160"/>
      <c r="BIQ43" s="160"/>
      <c r="BIR43" s="160"/>
      <c r="BIS43" s="160"/>
      <c r="BIT43" s="160"/>
      <c r="BIU43" s="163"/>
      <c r="BIV43" s="160"/>
      <c r="BIW43" s="160"/>
      <c r="BIX43" s="160"/>
      <c r="BIY43" s="160"/>
      <c r="BIZ43" s="160"/>
      <c r="BJA43" s="162"/>
      <c r="BJB43" s="160"/>
      <c r="BJC43" s="160"/>
      <c r="BJD43" s="160"/>
      <c r="BJE43" s="160"/>
      <c r="BJF43" s="160"/>
      <c r="BJG43" s="163"/>
      <c r="BJH43" s="160"/>
      <c r="BJI43" s="160"/>
      <c r="BJJ43" s="160"/>
      <c r="BJK43" s="160"/>
      <c r="BJL43" s="160"/>
      <c r="BJM43" s="164"/>
    </row>
    <row r="44" spans="1:1625" ht="20.100000000000001" customHeight="1" x14ac:dyDescent="0.3">
      <c r="A44" s="78" t="s">
        <v>51</v>
      </c>
      <c r="B44" s="51" t="str">
        <f>IF(LEN(C73)=0,"",C73)</f>
        <v/>
      </c>
      <c r="C44" s="225"/>
      <c r="D44" s="121" t="str">
        <f t="shared" si="0"/>
        <v>1h 10 min</v>
      </c>
      <c r="E44" s="30">
        <v>14</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93"/>
      <c r="RS44" s="194"/>
      <c r="RT44" s="194"/>
      <c r="RU44" s="194"/>
      <c r="RV44" s="194"/>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94"/>
      <c r="ASE44" s="197"/>
      <c r="ASF44" s="194"/>
      <c r="ASG44" s="194"/>
      <c r="ASH44" s="194"/>
      <c r="ASI44" s="194"/>
      <c r="ASJ44" s="194"/>
      <c r="ASK44" s="196"/>
      <c r="ASL44" s="194"/>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row>
    <row r="45" spans="1:1625" ht="20.100000000000001" customHeight="1" x14ac:dyDescent="0.25">
      <c r="A45" s="78" t="s">
        <v>50</v>
      </c>
      <c r="B45" s="51" t="str">
        <f>IF(LEN(C75)=0,"",C75)</f>
        <v/>
      </c>
      <c r="C45" s="223" t="s">
        <v>76</v>
      </c>
      <c r="D45" s="119" t="str">
        <f t="shared" si="0"/>
        <v>9h 40 min</v>
      </c>
      <c r="E45" s="34">
        <v>116</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72"/>
      <c r="AII45" s="172"/>
      <c r="AIJ45" s="172"/>
      <c r="AIK45" s="172"/>
      <c r="AIL45" s="172"/>
      <c r="AIM45" s="177"/>
      <c r="AIN45" s="172"/>
      <c r="AIO45" s="172"/>
      <c r="AIP45" s="172"/>
      <c r="AIQ45" s="172"/>
      <c r="AIR45" s="172"/>
      <c r="AIS45" s="175"/>
      <c r="AIT45" s="172"/>
      <c r="AIU45" s="172"/>
      <c r="AIV45" s="172"/>
      <c r="AIW45" s="172"/>
      <c r="AIX45" s="172"/>
      <c r="AIY45" s="177"/>
      <c r="AIZ45" s="172"/>
      <c r="AJA45" s="172"/>
      <c r="AJB45" s="172"/>
      <c r="AJC45" s="172"/>
      <c r="AJD45" s="172"/>
      <c r="AJE45" s="175"/>
      <c r="AJF45" s="172"/>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72"/>
      <c r="AKK45" s="172"/>
      <c r="AKL45" s="172"/>
      <c r="AKM45" s="172"/>
      <c r="AKN45" s="172"/>
      <c r="AKO45" s="175"/>
      <c r="AKP45" s="172"/>
      <c r="AKQ45" s="172"/>
      <c r="AKR45" s="172"/>
      <c r="AKS45" s="172"/>
      <c r="AKT45" s="172"/>
      <c r="AKU45" s="177"/>
      <c r="AKV45" s="172"/>
      <c r="AKW45" s="172"/>
      <c r="AKX45" s="172"/>
      <c r="AKY45" s="172"/>
      <c r="AKZ45" s="172"/>
      <c r="ALA45" s="175"/>
      <c r="ALB45" s="172"/>
      <c r="ALC45" s="172"/>
      <c r="ALD45" s="172"/>
      <c r="ALE45" s="172"/>
      <c r="ALF45" s="172"/>
      <c r="ALG45" s="177"/>
      <c r="ALH45" s="172"/>
      <c r="ALI45" s="172"/>
      <c r="ALJ45" s="172"/>
      <c r="ALK45" s="172"/>
      <c r="ALL45" s="172"/>
      <c r="ALM45" s="175"/>
      <c r="ALN45" s="172"/>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72"/>
      <c r="AMV45" s="172"/>
      <c r="AMW45" s="175"/>
      <c r="AMX45" s="172"/>
      <c r="AMY45" s="172"/>
      <c r="AMZ45" s="172"/>
      <c r="ANA45" s="172"/>
      <c r="ANB45" s="172"/>
      <c r="ANC45" s="177"/>
      <c r="AND45" s="172"/>
      <c r="ANE45" s="172"/>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72"/>
      <c r="APE45" s="175"/>
      <c r="APF45" s="172"/>
      <c r="APG45" s="172"/>
      <c r="APH45" s="172"/>
      <c r="API45" s="172"/>
      <c r="APJ45" s="172"/>
      <c r="APK45" s="177"/>
      <c r="APL45" s="172"/>
      <c r="APM45" s="172"/>
      <c r="APN45" s="172"/>
      <c r="APO45" s="172"/>
      <c r="APP45" s="172"/>
      <c r="APQ45" s="175"/>
      <c r="APR45" s="172"/>
      <c r="APS45" s="172"/>
      <c r="APT45" s="172"/>
      <c r="APU45" s="172"/>
      <c r="APV45" s="172"/>
      <c r="APW45" s="177"/>
      <c r="APX45" s="172"/>
      <c r="APY45" s="172"/>
      <c r="APZ45" s="172"/>
      <c r="AQA45" s="172"/>
      <c r="AQB45" s="172"/>
      <c r="AQC45" s="175"/>
      <c r="AQD45" s="172"/>
      <c r="AQE45" s="172"/>
      <c r="AQF45" s="172"/>
      <c r="AQG45" s="172"/>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65"/>
      <c r="BHG45" s="166"/>
      <c r="BHH45" s="166"/>
      <c r="BHI45" s="166"/>
      <c r="BHJ45" s="166"/>
      <c r="BHK45" s="167"/>
      <c r="BHL45" s="166"/>
      <c r="BHM45" s="166"/>
      <c r="BHN45" s="166"/>
      <c r="BHO45" s="166"/>
      <c r="BHP45" s="166"/>
      <c r="BHQ45" s="168"/>
      <c r="BHR45" s="166"/>
      <c r="BHS45" s="166"/>
      <c r="BHT45" s="166"/>
      <c r="BHU45" s="166"/>
      <c r="BHV45" s="166"/>
      <c r="BHW45" s="169"/>
      <c r="BHX45" s="166"/>
      <c r="BHY45" s="166"/>
      <c r="BHZ45" s="166"/>
      <c r="BIA45" s="166"/>
      <c r="BIB45" s="166"/>
      <c r="BIC45" s="168"/>
      <c r="BID45" s="166"/>
      <c r="BIE45" s="166"/>
      <c r="BIF45" s="166"/>
      <c r="BIG45" s="166"/>
      <c r="BIH45" s="166"/>
      <c r="BII45" s="169"/>
      <c r="BIJ45" s="166"/>
      <c r="BIK45" s="166"/>
      <c r="BIL45" s="166"/>
      <c r="BIM45" s="166"/>
      <c r="BIN45" s="166"/>
      <c r="BIO45" s="168"/>
      <c r="BIP45" s="166"/>
      <c r="BIQ45" s="166"/>
      <c r="BIR45" s="166"/>
      <c r="BIS45" s="166"/>
      <c r="BIT45" s="166"/>
      <c r="BIU45" s="169"/>
      <c r="BIV45" s="166"/>
      <c r="BIW45" s="166"/>
      <c r="BIX45" s="166"/>
      <c r="BIY45" s="166"/>
      <c r="BIZ45" s="166"/>
      <c r="BJA45" s="168"/>
      <c r="BJB45" s="166"/>
      <c r="BJC45" s="166"/>
      <c r="BJD45" s="166"/>
      <c r="BJE45" s="166"/>
      <c r="BJF45" s="166"/>
      <c r="BJG45" s="169"/>
      <c r="BJH45" s="166"/>
      <c r="BJI45" s="166"/>
      <c r="BJJ45" s="166"/>
      <c r="BJK45" s="166"/>
      <c r="BJL45" s="166"/>
      <c r="BJM45" s="170"/>
    </row>
    <row r="46" spans="1:1625" ht="20.100000000000001" customHeight="1" x14ac:dyDescent="0.25">
      <c r="A46" s="78" t="s">
        <v>51</v>
      </c>
      <c r="B46" s="51" t="str">
        <f>IF(LEN(C77)=0,"",C77)</f>
        <v/>
      </c>
      <c r="C46" s="224"/>
      <c r="D46" s="120" t="str">
        <f t="shared" si="0"/>
        <v>5h 30 min</v>
      </c>
      <c r="E46" s="30">
        <v>66</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94"/>
      <c r="AKT46" s="194"/>
      <c r="AKU46" s="197"/>
      <c r="AKV46" s="194"/>
      <c r="AKW46" s="194"/>
      <c r="AKX46" s="194"/>
      <c r="AKY46" s="194"/>
      <c r="AKZ46" s="194"/>
      <c r="ALA46" s="196"/>
      <c r="ALB46" s="194"/>
      <c r="ALC46" s="194"/>
      <c r="ALD46" s="194"/>
      <c r="ALE46" s="194"/>
      <c r="ALF46" s="194"/>
      <c r="ALG46" s="197"/>
      <c r="ALH46" s="194"/>
      <c r="ALI46" s="194"/>
      <c r="ALJ46" s="194"/>
      <c r="ALK46" s="194"/>
      <c r="ALL46" s="194"/>
      <c r="ALM46" s="196"/>
      <c r="ALN46" s="194"/>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93"/>
      <c r="AMM46" s="194"/>
      <c r="AMN46" s="194"/>
      <c r="AMO46" s="194"/>
      <c r="AMP46" s="194"/>
      <c r="AMQ46" s="195"/>
      <c r="AMR46" s="194"/>
      <c r="AMS46" s="194"/>
      <c r="AMT46" s="194"/>
      <c r="AMU46" s="194"/>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94"/>
      <c r="AOX46" s="194"/>
      <c r="AOY46" s="195"/>
      <c r="AOZ46" s="194"/>
      <c r="APA46" s="194"/>
      <c r="APB46" s="194"/>
      <c r="APC46" s="194"/>
      <c r="APD46" s="194"/>
      <c r="APE46" s="196"/>
      <c r="APF46" s="194"/>
      <c r="APG46" s="194"/>
      <c r="APH46" s="194"/>
      <c r="API46" s="194"/>
      <c r="APJ46" s="194"/>
      <c r="APK46" s="197"/>
      <c r="APL46" s="194"/>
      <c r="APM46" s="194"/>
      <c r="APN46" s="194"/>
      <c r="APO46" s="194"/>
      <c r="APP46" s="194"/>
      <c r="APQ46" s="196"/>
      <c r="APR46" s="194"/>
      <c r="APS46" s="194"/>
      <c r="APT46" s="194"/>
      <c r="APU46" s="194"/>
      <c r="APV46" s="194"/>
      <c r="APW46" s="197"/>
      <c r="APX46" s="194"/>
      <c r="APY46" s="194"/>
      <c r="APZ46" s="194"/>
      <c r="AQA46" s="194"/>
      <c r="AQB46" s="194"/>
      <c r="AQC46" s="196"/>
      <c r="AQD46" s="194"/>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row>
    <row r="47" spans="1:1625" ht="20.100000000000001" customHeight="1" x14ac:dyDescent="0.25">
      <c r="A47" s="78" t="s">
        <v>50</v>
      </c>
      <c r="B47" s="51" t="str">
        <f>IF(LEN(C79)=0,"",C79)</f>
        <v/>
      </c>
      <c r="C47" s="223" t="s">
        <v>70</v>
      </c>
      <c r="D47" s="119" t="str">
        <f t="shared" si="0"/>
        <v>4h 5 min</v>
      </c>
      <c r="E47" s="34">
        <v>49</v>
      </c>
      <c r="F47" s="165"/>
      <c r="G47" s="166"/>
      <c r="H47" s="166"/>
      <c r="I47" s="166"/>
      <c r="J47" s="166"/>
      <c r="K47" s="167"/>
      <c r="L47" s="166"/>
      <c r="M47" s="166"/>
      <c r="N47" s="166"/>
      <c r="O47" s="166"/>
      <c r="P47" s="166"/>
      <c r="Q47" s="175"/>
      <c r="R47" s="172"/>
      <c r="S47" s="172"/>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75"/>
      <c r="PV47" s="172"/>
      <c r="PW47" s="172"/>
      <c r="PX47" s="172"/>
      <c r="PY47" s="172"/>
      <c r="PZ47" s="172"/>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72"/>
      <c r="ZF47" s="172"/>
      <c r="ZG47" s="177"/>
      <c r="ZH47" s="172"/>
      <c r="ZI47" s="172"/>
      <c r="ZJ47" s="172"/>
      <c r="ZK47" s="172"/>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72"/>
      <c r="AFU47" s="172"/>
      <c r="AFV47" s="172"/>
      <c r="AFW47" s="172"/>
      <c r="AFX47" s="172"/>
      <c r="AFY47" s="175"/>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71"/>
      <c r="AKE47" s="172"/>
      <c r="AKF47" s="172"/>
      <c r="AKG47" s="172"/>
      <c r="AKH47" s="172"/>
      <c r="AKI47" s="173"/>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72"/>
      <c r="BFU47" s="175"/>
      <c r="BFV47" s="172"/>
      <c r="BFW47" s="172"/>
      <c r="BFX47" s="172"/>
      <c r="BFY47" s="172"/>
      <c r="BFZ47" s="172"/>
      <c r="BGA47" s="177"/>
      <c r="BGB47" s="172"/>
      <c r="BGC47" s="172"/>
      <c r="BGD47" s="172"/>
      <c r="BGE47" s="172"/>
      <c r="BGF47" s="172"/>
      <c r="BGG47" s="175"/>
      <c r="BGH47" s="172"/>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65"/>
      <c r="BHG47" s="166"/>
      <c r="BHH47" s="166"/>
      <c r="BHI47" s="166"/>
      <c r="BHJ47" s="166"/>
      <c r="BHK47" s="167"/>
      <c r="BHL47" s="166"/>
      <c r="BHM47" s="166"/>
      <c r="BHN47" s="166"/>
      <c r="BHO47" s="166"/>
      <c r="BHP47" s="166"/>
      <c r="BHQ47" s="168"/>
      <c r="BHR47" s="166"/>
      <c r="BHS47" s="166"/>
      <c r="BHT47" s="166"/>
      <c r="BHU47" s="166"/>
      <c r="BHV47" s="166"/>
      <c r="BHW47" s="169"/>
      <c r="BHX47" s="166"/>
      <c r="BHY47" s="166"/>
      <c r="BHZ47" s="166"/>
      <c r="BIA47" s="166"/>
      <c r="BIB47" s="166"/>
      <c r="BIC47" s="175"/>
      <c r="BID47" s="172"/>
      <c r="BIE47" s="172"/>
      <c r="BIF47" s="172"/>
      <c r="BIG47" s="172"/>
      <c r="BIH47" s="172"/>
      <c r="BII47" s="169"/>
      <c r="BIJ47" s="166"/>
      <c r="BIK47" s="166"/>
      <c r="BIL47" s="166"/>
      <c r="BIM47" s="166"/>
      <c r="BIN47" s="166"/>
      <c r="BIO47" s="168"/>
      <c r="BIP47" s="166"/>
      <c r="BIQ47" s="166"/>
      <c r="BIR47" s="166"/>
      <c r="BIS47" s="166"/>
      <c r="BIT47" s="166"/>
      <c r="BIU47" s="169"/>
      <c r="BIV47" s="166"/>
      <c r="BIW47" s="166"/>
      <c r="BIX47" s="166"/>
      <c r="BIY47" s="166"/>
      <c r="BIZ47" s="166"/>
      <c r="BJA47" s="168"/>
      <c r="BJB47" s="166"/>
      <c r="BJC47" s="166"/>
      <c r="BJD47" s="166"/>
      <c r="BJE47" s="166"/>
      <c r="BJF47" s="166"/>
      <c r="BJG47" s="169"/>
      <c r="BJH47" s="166"/>
      <c r="BJI47" s="166"/>
      <c r="BJJ47" s="166"/>
      <c r="BJK47" s="166"/>
      <c r="BJL47" s="166"/>
      <c r="BJM47" s="170"/>
    </row>
    <row r="48" spans="1:1625" ht="20.100000000000001" customHeight="1" x14ac:dyDescent="0.3">
      <c r="A48" s="78" t="s">
        <v>51</v>
      </c>
      <c r="B48" s="51" t="str">
        <f>IF(LEN(C81)=0,"",C81)</f>
        <v/>
      </c>
      <c r="C48" s="225"/>
      <c r="D48" s="121" t="str">
        <f t="shared" si="0"/>
        <v>1h 30 min</v>
      </c>
      <c r="E48" s="22">
        <v>18</v>
      </c>
      <c r="F48" s="181"/>
      <c r="G48" s="182"/>
      <c r="H48" s="182"/>
      <c r="I48" s="182"/>
      <c r="J48" s="182"/>
      <c r="K48" s="183"/>
      <c r="L48" s="182"/>
      <c r="M48" s="182"/>
      <c r="N48" s="182"/>
      <c r="O48" s="182"/>
      <c r="P48" s="182"/>
      <c r="Q48" s="198"/>
      <c r="R48" s="199"/>
      <c r="S48" s="199"/>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203"/>
      <c r="GE48" s="199"/>
      <c r="GF48" s="199"/>
      <c r="GG48" s="199"/>
      <c r="GH48" s="199"/>
      <c r="GI48" s="204"/>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99"/>
      <c r="OK48" s="198"/>
      <c r="OL48" s="199"/>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99"/>
      <c r="ADQ48" s="198"/>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81"/>
      <c r="AHW48" s="182"/>
      <c r="AHX48" s="182"/>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99"/>
      <c r="AMW48" s="198"/>
      <c r="AMX48" s="199"/>
      <c r="AMY48" s="199"/>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182"/>
      <c r="ARJ48" s="182"/>
      <c r="ARK48" s="182"/>
      <c r="ARL48" s="182"/>
      <c r="ARM48" s="184"/>
      <c r="ARN48" s="182"/>
      <c r="ARO48" s="182"/>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row>
    <row r="49" spans="1:1625" ht="20.100000000000001" customHeight="1" x14ac:dyDescent="0.25">
      <c r="A49" s="78" t="s">
        <v>50</v>
      </c>
      <c r="B49" s="51" t="str">
        <f>IF(LEN(C83)=0,"",C83)</f>
        <v/>
      </c>
      <c r="C49" s="223" t="s">
        <v>69</v>
      </c>
      <c r="D49" s="119" t="str">
        <f t="shared" si="0"/>
        <v xml:space="preserve"> 30 min</v>
      </c>
      <c r="E49" s="26">
        <v>6</v>
      </c>
      <c r="F49" s="176"/>
      <c r="G49" s="174"/>
      <c r="H49" s="174"/>
      <c r="I49" s="174"/>
      <c r="J49" s="174"/>
      <c r="K49" s="178"/>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59"/>
      <c r="BHG49" s="160"/>
      <c r="BHH49" s="160"/>
      <c r="BHI49" s="160"/>
      <c r="BHJ49" s="160"/>
      <c r="BHK49" s="161"/>
      <c r="BHL49" s="160"/>
      <c r="BHM49" s="160"/>
      <c r="BHN49" s="160"/>
      <c r="BHO49" s="160"/>
      <c r="BHP49" s="160"/>
      <c r="BHQ49" s="162"/>
      <c r="BHR49" s="160"/>
      <c r="BHS49" s="160"/>
      <c r="BHT49" s="160"/>
      <c r="BHU49" s="160"/>
      <c r="BHV49" s="160"/>
      <c r="BHW49" s="163"/>
      <c r="BHX49" s="160"/>
      <c r="BHY49" s="160"/>
      <c r="BHZ49" s="160"/>
      <c r="BIA49" s="160"/>
      <c r="BIB49" s="160"/>
      <c r="BIC49" s="162"/>
      <c r="BID49" s="160"/>
      <c r="BIE49" s="160"/>
      <c r="BIF49" s="160"/>
      <c r="BIG49" s="160"/>
      <c r="BIH49" s="160"/>
      <c r="BII49" s="163"/>
      <c r="BIJ49" s="160"/>
      <c r="BIK49" s="160"/>
      <c r="BIL49" s="160"/>
      <c r="BIM49" s="160"/>
      <c r="BIN49" s="160"/>
      <c r="BIO49" s="162"/>
      <c r="BIP49" s="160"/>
      <c r="BIQ49" s="160"/>
      <c r="BIR49" s="160"/>
      <c r="BIS49" s="160"/>
      <c r="BIT49" s="160"/>
      <c r="BIU49" s="163"/>
      <c r="BIV49" s="160"/>
      <c r="BIW49" s="160"/>
      <c r="BIX49" s="160"/>
      <c r="BIY49" s="160"/>
      <c r="BIZ49" s="160"/>
      <c r="BJA49" s="162"/>
      <c r="BJB49" s="160"/>
      <c r="BJC49" s="160"/>
      <c r="BJD49" s="160"/>
      <c r="BJE49" s="160"/>
      <c r="BJF49" s="160"/>
      <c r="BJG49" s="163"/>
      <c r="BJH49" s="160"/>
      <c r="BJI49" s="160"/>
      <c r="BJJ49" s="160"/>
      <c r="BJK49" s="160"/>
      <c r="BJL49" s="160"/>
      <c r="BJM49" s="164"/>
    </row>
    <row r="50" spans="1:1625" ht="20.100000000000001" customHeight="1" x14ac:dyDescent="0.3">
      <c r="A50" s="78" t="s">
        <v>51</v>
      </c>
      <c r="B50" s="51" t="str">
        <f>IF(LEN(C85)=0,"",C85)</f>
        <v/>
      </c>
      <c r="C50" s="225"/>
      <c r="D50" s="121" t="str">
        <f t="shared" si="0"/>
        <v xml:space="preserve"> 30 min</v>
      </c>
      <c r="E50" s="30">
        <v>6</v>
      </c>
      <c r="F50" s="193"/>
      <c r="G50" s="194"/>
      <c r="H50" s="194"/>
      <c r="I50" s="194"/>
      <c r="J50" s="194"/>
      <c r="K50" s="195"/>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row>
    <row r="51" spans="1:1625" ht="20.100000000000001" customHeight="1" x14ac:dyDescent="0.25">
      <c r="A51" s="78" t="s">
        <v>50</v>
      </c>
      <c r="B51" s="51" t="str">
        <f>IF(LEN(C87)=0,"",C87)</f>
        <v/>
      </c>
      <c r="C51" s="223" t="s">
        <v>68</v>
      </c>
      <c r="D51" s="119" t="str">
        <f t="shared" si="0"/>
        <v xml:space="preserve"> 30 min</v>
      </c>
      <c r="E51" s="34">
        <v>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71"/>
      <c r="AFO51" s="172"/>
      <c r="AFP51" s="172"/>
      <c r="AFQ51" s="172"/>
      <c r="AFR51" s="172"/>
      <c r="AFS51" s="173"/>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65"/>
      <c r="BHG51" s="166"/>
      <c r="BHH51" s="166"/>
      <c r="BHI51" s="166"/>
      <c r="BHJ51" s="166"/>
      <c r="BHK51" s="167"/>
      <c r="BHL51" s="166"/>
      <c r="BHM51" s="166"/>
      <c r="BHN51" s="166"/>
      <c r="BHO51" s="166"/>
      <c r="BHP51" s="166"/>
      <c r="BHQ51" s="168"/>
      <c r="BHR51" s="166"/>
      <c r="BHS51" s="166"/>
      <c r="BHT51" s="166"/>
      <c r="BHU51" s="166"/>
      <c r="BHV51" s="166"/>
      <c r="BHW51" s="169"/>
      <c r="BHX51" s="166"/>
      <c r="BHY51" s="166"/>
      <c r="BHZ51" s="166"/>
      <c r="BIA51" s="166"/>
      <c r="BIB51" s="166"/>
      <c r="BIC51" s="168"/>
      <c r="BID51" s="166"/>
      <c r="BIE51" s="166"/>
      <c r="BIF51" s="166"/>
      <c r="BIG51" s="166"/>
      <c r="BIH51" s="166"/>
      <c r="BII51" s="169"/>
      <c r="BIJ51" s="166"/>
      <c r="BIK51" s="166"/>
      <c r="BIL51" s="166"/>
      <c r="BIM51" s="166"/>
      <c r="BIN51" s="166"/>
      <c r="BIO51" s="168"/>
      <c r="BIP51" s="166"/>
      <c r="BIQ51" s="166"/>
      <c r="BIR51" s="166"/>
      <c r="BIS51" s="166"/>
      <c r="BIT51" s="166"/>
      <c r="BIU51" s="169"/>
      <c r="BIV51" s="166"/>
      <c r="BIW51" s="166"/>
      <c r="BIX51" s="166"/>
      <c r="BIY51" s="166"/>
      <c r="BIZ51" s="166"/>
      <c r="BJA51" s="168"/>
      <c r="BJB51" s="166"/>
      <c r="BJC51" s="166"/>
      <c r="BJD51" s="166"/>
      <c r="BJE51" s="166"/>
      <c r="BJF51" s="166"/>
      <c r="BJG51" s="169"/>
      <c r="BJH51" s="166"/>
      <c r="BJI51" s="166"/>
      <c r="BJJ51" s="166"/>
      <c r="BJK51" s="166"/>
      <c r="BJL51" s="166"/>
      <c r="BJM51" s="170"/>
    </row>
    <row r="52" spans="1:1625" ht="20.100000000000001" customHeight="1" x14ac:dyDescent="0.25">
      <c r="A52" s="78" t="s">
        <v>51</v>
      </c>
      <c r="B52" s="51" t="str">
        <f>IF(LEN(C89)=0,"",C89)</f>
        <v/>
      </c>
      <c r="C52" s="225"/>
      <c r="D52" s="120" t="str">
        <f t="shared" si="0"/>
        <v xml:space="preserve"> 55 min</v>
      </c>
      <c r="E52" s="22">
        <v>11</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99"/>
      <c r="AIW52" s="199"/>
      <c r="AIX52" s="199"/>
      <c r="AIY52" s="197"/>
      <c r="AIZ52" s="199"/>
      <c r="AJA52" s="199"/>
      <c r="AJB52" s="199"/>
      <c r="AJC52" s="199"/>
      <c r="AJD52" s="199"/>
      <c r="AJE52" s="198"/>
      <c r="AJF52" s="199"/>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row>
    <row r="53" spans="1:1625" ht="20.100000000000001" customHeight="1" x14ac:dyDescent="0.25">
      <c r="A53" s="78" t="s">
        <v>50</v>
      </c>
      <c r="B53" s="51" t="str">
        <f>IF(LEN(C91)=0,"",C91)</f>
        <v/>
      </c>
      <c r="C53" s="223"/>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59"/>
      <c r="BHG53" s="160"/>
      <c r="BHH53" s="160"/>
      <c r="BHI53" s="160"/>
      <c r="BHJ53" s="160"/>
      <c r="BHK53" s="161"/>
      <c r="BHL53" s="160"/>
      <c r="BHM53" s="160"/>
      <c r="BHN53" s="160"/>
      <c r="BHO53" s="160"/>
      <c r="BHP53" s="160"/>
      <c r="BHQ53" s="162"/>
      <c r="BHR53" s="160"/>
      <c r="BHS53" s="160"/>
      <c r="BHT53" s="160"/>
      <c r="BHU53" s="160"/>
      <c r="BHV53" s="160"/>
      <c r="BHW53" s="163"/>
      <c r="BHX53" s="160"/>
      <c r="BHY53" s="160"/>
      <c r="BHZ53" s="160"/>
      <c r="BIA53" s="160"/>
      <c r="BIB53" s="160"/>
      <c r="BIC53" s="162"/>
      <c r="BID53" s="160"/>
      <c r="BIE53" s="160"/>
      <c r="BIF53" s="160"/>
      <c r="BIG53" s="160"/>
      <c r="BIH53" s="160"/>
      <c r="BII53" s="163"/>
      <c r="BIJ53" s="160"/>
      <c r="BIK53" s="160"/>
      <c r="BIL53" s="160"/>
      <c r="BIM53" s="160"/>
      <c r="BIN53" s="160"/>
      <c r="BIO53" s="162"/>
      <c r="BIP53" s="160"/>
      <c r="BIQ53" s="160"/>
      <c r="BIR53" s="160"/>
      <c r="BIS53" s="160"/>
      <c r="BIT53" s="160"/>
      <c r="BIU53" s="163"/>
      <c r="BIV53" s="160"/>
      <c r="BIW53" s="160"/>
      <c r="BIX53" s="160"/>
      <c r="BIY53" s="160"/>
      <c r="BIZ53" s="160"/>
      <c r="BJA53" s="162"/>
      <c r="BJB53" s="160"/>
      <c r="BJC53" s="160"/>
      <c r="BJD53" s="160"/>
      <c r="BJE53" s="160"/>
      <c r="BJF53" s="160"/>
      <c r="BJG53" s="163"/>
      <c r="BJH53" s="160"/>
      <c r="BJI53" s="160"/>
      <c r="BJJ53" s="160"/>
      <c r="BJK53" s="160"/>
      <c r="BJL53" s="160"/>
      <c r="BJM53" s="164"/>
    </row>
    <row r="54" spans="1:1625" ht="20.100000000000001" customHeight="1" x14ac:dyDescent="0.3">
      <c r="A54" s="78" t="s">
        <v>51</v>
      </c>
      <c r="B54" s="51" t="str">
        <f>IF(LEN(C93)=0,"",C93)</f>
        <v/>
      </c>
      <c r="C54" s="225"/>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row>
    <row r="55" spans="1:1625" ht="20.100000000000001" customHeight="1" x14ac:dyDescent="0.25">
      <c r="A55" s="78" t="s">
        <v>50</v>
      </c>
      <c r="B55" s="51"/>
      <c r="C55" s="223"/>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65"/>
      <c r="BHG55" s="166"/>
      <c r="BHH55" s="166"/>
      <c r="BHI55" s="166"/>
      <c r="BHJ55" s="166"/>
      <c r="BHK55" s="167"/>
      <c r="BHL55" s="166"/>
      <c r="BHM55" s="166"/>
      <c r="BHN55" s="166"/>
      <c r="BHO55" s="166"/>
      <c r="BHP55" s="166"/>
      <c r="BHQ55" s="168"/>
      <c r="BHR55" s="166"/>
      <c r="BHS55" s="166"/>
      <c r="BHT55" s="166"/>
      <c r="BHU55" s="166"/>
      <c r="BHV55" s="166"/>
      <c r="BHW55" s="169"/>
      <c r="BHX55" s="166"/>
      <c r="BHY55" s="166"/>
      <c r="BHZ55" s="166"/>
      <c r="BIA55" s="166"/>
      <c r="BIB55" s="166"/>
      <c r="BIC55" s="168"/>
      <c r="BID55" s="166"/>
      <c r="BIE55" s="166"/>
      <c r="BIF55" s="166"/>
      <c r="BIG55" s="166"/>
      <c r="BIH55" s="166"/>
      <c r="BII55" s="169"/>
      <c r="BIJ55" s="166"/>
      <c r="BIK55" s="166"/>
      <c r="BIL55" s="166"/>
      <c r="BIM55" s="166"/>
      <c r="BIN55" s="166"/>
      <c r="BIO55" s="168"/>
      <c r="BIP55" s="166"/>
      <c r="BIQ55" s="166"/>
      <c r="BIR55" s="166"/>
      <c r="BIS55" s="166"/>
      <c r="BIT55" s="166"/>
      <c r="BIU55" s="169"/>
      <c r="BIV55" s="166"/>
      <c r="BIW55" s="166"/>
      <c r="BIX55" s="166"/>
      <c r="BIY55" s="166"/>
      <c r="BIZ55" s="166"/>
      <c r="BJA55" s="168"/>
      <c r="BJB55" s="166"/>
      <c r="BJC55" s="166"/>
      <c r="BJD55" s="166"/>
      <c r="BJE55" s="166"/>
      <c r="BJF55" s="166"/>
      <c r="BJG55" s="169"/>
      <c r="BJH55" s="166"/>
      <c r="BJI55" s="166"/>
      <c r="BJJ55" s="166"/>
      <c r="BJK55" s="166"/>
      <c r="BJL55" s="166"/>
      <c r="BJM55" s="170"/>
    </row>
    <row r="56" spans="1:1625" ht="20.100000000000001" customHeight="1" x14ac:dyDescent="0.25">
      <c r="A56" s="78" t="s">
        <v>51</v>
      </c>
      <c r="B56" s="51"/>
      <c r="C56" s="225"/>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row>
    <row r="57" spans="1:1625" ht="20.100000000000001" customHeight="1" x14ac:dyDescent="0.25">
      <c r="A57" s="78" t="s">
        <v>50</v>
      </c>
      <c r="B57" s="51"/>
      <c r="C57" s="223"/>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59"/>
      <c r="BHG57" s="160"/>
      <c r="BHH57" s="160"/>
      <c r="BHI57" s="160"/>
      <c r="BHJ57" s="160"/>
      <c r="BHK57" s="161"/>
      <c r="BHL57" s="160"/>
      <c r="BHM57" s="160"/>
      <c r="BHN57" s="160"/>
      <c r="BHO57" s="160"/>
      <c r="BHP57" s="160"/>
      <c r="BHQ57" s="162"/>
      <c r="BHR57" s="160"/>
      <c r="BHS57" s="160"/>
      <c r="BHT57" s="160"/>
      <c r="BHU57" s="160"/>
      <c r="BHV57" s="160"/>
      <c r="BHW57" s="163"/>
      <c r="BHX57" s="160"/>
      <c r="BHY57" s="160"/>
      <c r="BHZ57" s="160"/>
      <c r="BIA57" s="160"/>
      <c r="BIB57" s="160"/>
      <c r="BIC57" s="162"/>
      <c r="BID57" s="160"/>
      <c r="BIE57" s="160"/>
      <c r="BIF57" s="160"/>
      <c r="BIG57" s="160"/>
      <c r="BIH57" s="160"/>
      <c r="BII57" s="163"/>
      <c r="BIJ57" s="160"/>
      <c r="BIK57" s="160"/>
      <c r="BIL57" s="160"/>
      <c r="BIM57" s="160"/>
      <c r="BIN57" s="160"/>
      <c r="BIO57" s="162"/>
      <c r="BIP57" s="160"/>
      <c r="BIQ57" s="160"/>
      <c r="BIR57" s="160"/>
      <c r="BIS57" s="160"/>
      <c r="BIT57" s="160"/>
      <c r="BIU57" s="163"/>
      <c r="BIV57" s="160"/>
      <c r="BIW57" s="160"/>
      <c r="BIX57" s="160"/>
      <c r="BIY57" s="160"/>
      <c r="BIZ57" s="160"/>
      <c r="BJA57" s="162"/>
      <c r="BJB57" s="160"/>
      <c r="BJC57" s="160"/>
      <c r="BJD57" s="160"/>
      <c r="BJE57" s="160"/>
      <c r="BJF57" s="160"/>
      <c r="BJG57" s="163"/>
      <c r="BJH57" s="160"/>
      <c r="BJI57" s="160"/>
      <c r="BJJ57" s="160"/>
      <c r="BJK57" s="160"/>
      <c r="BJL57" s="160"/>
      <c r="BJM57" s="164"/>
    </row>
    <row r="58" spans="1:1625" ht="20.100000000000001" customHeight="1" x14ac:dyDescent="0.3">
      <c r="A58" s="78" t="s">
        <v>51</v>
      </c>
      <c r="B58" s="51"/>
      <c r="C58" s="224"/>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row>
    <row r="59" spans="1:1625" ht="20.100000000000001" customHeight="1" x14ac:dyDescent="0.25">
      <c r="A59" s="78" t="s">
        <v>50</v>
      </c>
      <c r="B59" s="51"/>
      <c r="C59" s="223"/>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65"/>
      <c r="BHG59" s="166"/>
      <c r="BHH59" s="166"/>
      <c r="BHI59" s="166"/>
      <c r="BHJ59" s="166"/>
      <c r="BHK59" s="167"/>
      <c r="BHL59" s="166"/>
      <c r="BHM59" s="166"/>
      <c r="BHN59" s="166"/>
      <c r="BHO59" s="166"/>
      <c r="BHP59" s="166"/>
      <c r="BHQ59" s="168"/>
      <c r="BHR59" s="166"/>
      <c r="BHS59" s="166"/>
      <c r="BHT59" s="166"/>
      <c r="BHU59" s="166"/>
      <c r="BHV59" s="166"/>
      <c r="BHW59" s="169"/>
      <c r="BHX59" s="166"/>
      <c r="BHY59" s="166"/>
      <c r="BHZ59" s="166"/>
      <c r="BIA59" s="166"/>
      <c r="BIB59" s="166"/>
      <c r="BIC59" s="168"/>
      <c r="BID59" s="166"/>
      <c r="BIE59" s="166"/>
      <c r="BIF59" s="166"/>
      <c r="BIG59" s="166"/>
      <c r="BIH59" s="166"/>
      <c r="BII59" s="169"/>
      <c r="BIJ59" s="166"/>
      <c r="BIK59" s="166"/>
      <c r="BIL59" s="166"/>
      <c r="BIM59" s="166"/>
      <c r="BIN59" s="166"/>
      <c r="BIO59" s="168"/>
      <c r="BIP59" s="166"/>
      <c r="BIQ59" s="166"/>
      <c r="BIR59" s="166"/>
      <c r="BIS59" s="166"/>
      <c r="BIT59" s="166"/>
      <c r="BIU59" s="169"/>
      <c r="BIV59" s="166"/>
      <c r="BIW59" s="166"/>
      <c r="BIX59" s="166"/>
      <c r="BIY59" s="166"/>
      <c r="BIZ59" s="166"/>
      <c r="BJA59" s="168"/>
      <c r="BJB59" s="166"/>
      <c r="BJC59" s="166"/>
      <c r="BJD59" s="166"/>
      <c r="BJE59" s="166"/>
      <c r="BJF59" s="166"/>
      <c r="BJG59" s="169"/>
      <c r="BJH59" s="166"/>
      <c r="BJI59" s="166"/>
      <c r="BJJ59" s="166"/>
      <c r="BJK59" s="166"/>
      <c r="BJL59" s="166"/>
      <c r="BJM59" s="170"/>
    </row>
    <row r="60" spans="1:1625" ht="20.100000000000001" customHeight="1" x14ac:dyDescent="0.3">
      <c r="A60" s="78" t="s">
        <v>51</v>
      </c>
      <c r="B60" s="51"/>
      <c r="C60" s="225"/>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row>
    <row r="61" spans="1:1625" ht="20.100000000000001" customHeight="1" x14ac:dyDescent="0.25">
      <c r="A61" s="78" t="s">
        <v>50</v>
      </c>
      <c r="B61" s="51"/>
      <c r="C61" s="223"/>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59"/>
      <c r="BHG61" s="160"/>
      <c r="BHH61" s="160"/>
      <c r="BHI61" s="160"/>
      <c r="BHJ61" s="160"/>
      <c r="BHK61" s="161"/>
      <c r="BHL61" s="160"/>
      <c r="BHM61" s="160"/>
      <c r="BHN61" s="160"/>
      <c r="BHO61" s="160"/>
      <c r="BHP61" s="160"/>
      <c r="BHQ61" s="162"/>
      <c r="BHR61" s="160"/>
      <c r="BHS61" s="160"/>
      <c r="BHT61" s="160"/>
      <c r="BHU61" s="160"/>
      <c r="BHV61" s="160"/>
      <c r="BHW61" s="163"/>
      <c r="BHX61" s="160"/>
      <c r="BHY61" s="160"/>
      <c r="BHZ61" s="160"/>
      <c r="BIA61" s="160"/>
      <c r="BIB61" s="160"/>
      <c r="BIC61" s="162"/>
      <c r="BID61" s="160"/>
      <c r="BIE61" s="160"/>
      <c r="BIF61" s="160"/>
      <c r="BIG61" s="160"/>
      <c r="BIH61" s="160"/>
      <c r="BII61" s="163"/>
      <c r="BIJ61" s="160"/>
      <c r="BIK61" s="160"/>
      <c r="BIL61" s="160"/>
      <c r="BIM61" s="160"/>
      <c r="BIN61" s="160"/>
      <c r="BIO61" s="162"/>
      <c r="BIP61" s="160"/>
      <c r="BIQ61" s="160"/>
      <c r="BIR61" s="160"/>
      <c r="BIS61" s="160"/>
      <c r="BIT61" s="160"/>
      <c r="BIU61" s="163"/>
      <c r="BIV61" s="160"/>
      <c r="BIW61" s="160"/>
      <c r="BIX61" s="160"/>
      <c r="BIY61" s="160"/>
      <c r="BIZ61" s="160"/>
      <c r="BJA61" s="162"/>
      <c r="BJB61" s="160"/>
      <c r="BJC61" s="160"/>
      <c r="BJD61" s="160"/>
      <c r="BJE61" s="160"/>
      <c r="BJF61" s="160"/>
      <c r="BJG61" s="163"/>
      <c r="BJH61" s="160"/>
      <c r="BJI61" s="160"/>
      <c r="BJJ61" s="160"/>
      <c r="BJK61" s="160"/>
      <c r="BJL61" s="160"/>
      <c r="BJM61" s="164"/>
    </row>
    <row r="62" spans="1:1625" ht="20.100000000000001" customHeight="1" x14ac:dyDescent="0.25">
      <c r="A62" s="78" t="s">
        <v>51</v>
      </c>
      <c r="B62" s="51"/>
      <c r="C62" s="224"/>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row>
    <row r="63" spans="1:1625" ht="20.100000000000001" customHeight="1" x14ac:dyDescent="0.25">
      <c r="A63" s="78" t="s">
        <v>50</v>
      </c>
      <c r="B63" s="51"/>
      <c r="C63" s="223"/>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65"/>
      <c r="BHG63" s="166"/>
      <c r="BHH63" s="166"/>
      <c r="BHI63" s="166"/>
      <c r="BHJ63" s="166"/>
      <c r="BHK63" s="167"/>
      <c r="BHL63" s="166"/>
      <c r="BHM63" s="166"/>
      <c r="BHN63" s="166"/>
      <c r="BHO63" s="166"/>
      <c r="BHP63" s="166"/>
      <c r="BHQ63" s="168"/>
      <c r="BHR63" s="166"/>
      <c r="BHS63" s="166"/>
      <c r="BHT63" s="166"/>
      <c r="BHU63" s="166"/>
      <c r="BHV63" s="166"/>
      <c r="BHW63" s="169"/>
      <c r="BHX63" s="166"/>
      <c r="BHY63" s="166"/>
      <c r="BHZ63" s="166"/>
      <c r="BIA63" s="166"/>
      <c r="BIB63" s="166"/>
      <c r="BIC63" s="168"/>
      <c r="BID63" s="166"/>
      <c r="BIE63" s="166"/>
      <c r="BIF63" s="166"/>
      <c r="BIG63" s="166"/>
      <c r="BIH63" s="166"/>
      <c r="BII63" s="169"/>
      <c r="BIJ63" s="166"/>
      <c r="BIK63" s="166"/>
      <c r="BIL63" s="166"/>
      <c r="BIM63" s="166"/>
      <c r="BIN63" s="166"/>
      <c r="BIO63" s="168"/>
      <c r="BIP63" s="166"/>
      <c r="BIQ63" s="166"/>
      <c r="BIR63" s="166"/>
      <c r="BIS63" s="166"/>
      <c r="BIT63" s="166"/>
      <c r="BIU63" s="169"/>
      <c r="BIV63" s="166"/>
      <c r="BIW63" s="166"/>
      <c r="BIX63" s="166"/>
      <c r="BIY63" s="166"/>
      <c r="BIZ63" s="166"/>
      <c r="BJA63" s="168"/>
      <c r="BJB63" s="166"/>
      <c r="BJC63" s="166"/>
      <c r="BJD63" s="166"/>
      <c r="BJE63" s="166"/>
      <c r="BJF63" s="166"/>
      <c r="BJG63" s="169"/>
      <c r="BJH63" s="166"/>
      <c r="BJI63" s="166"/>
      <c r="BJJ63" s="166"/>
      <c r="BJK63" s="166"/>
      <c r="BJL63" s="166"/>
      <c r="BJM63" s="170"/>
    </row>
    <row r="64" spans="1:1625" ht="20.100000000000001" customHeight="1" x14ac:dyDescent="0.3">
      <c r="A64" s="78" t="s">
        <v>51</v>
      </c>
      <c r="B64" s="51"/>
      <c r="C64" s="225"/>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row>
    <row r="65" spans="1:1625" ht="20.100000000000001" customHeight="1" x14ac:dyDescent="0.25">
      <c r="A65" s="78" t="s">
        <v>50</v>
      </c>
      <c r="B65" s="51"/>
      <c r="C65" s="223"/>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59"/>
      <c r="BHG65" s="160"/>
      <c r="BHH65" s="160"/>
      <c r="BHI65" s="160"/>
      <c r="BHJ65" s="160"/>
      <c r="BHK65" s="161"/>
      <c r="BHL65" s="160"/>
      <c r="BHM65" s="160"/>
      <c r="BHN65" s="160"/>
      <c r="BHO65" s="160"/>
      <c r="BHP65" s="160"/>
      <c r="BHQ65" s="162"/>
      <c r="BHR65" s="160"/>
      <c r="BHS65" s="160"/>
      <c r="BHT65" s="160"/>
      <c r="BHU65" s="160"/>
      <c r="BHV65" s="160"/>
      <c r="BHW65" s="163"/>
      <c r="BHX65" s="160"/>
      <c r="BHY65" s="160"/>
      <c r="BHZ65" s="160"/>
      <c r="BIA65" s="160"/>
      <c r="BIB65" s="160"/>
      <c r="BIC65" s="162"/>
      <c r="BID65" s="160"/>
      <c r="BIE65" s="160"/>
      <c r="BIF65" s="160"/>
      <c r="BIG65" s="160"/>
      <c r="BIH65" s="160"/>
      <c r="BII65" s="163"/>
      <c r="BIJ65" s="160"/>
      <c r="BIK65" s="160"/>
      <c r="BIL65" s="160"/>
      <c r="BIM65" s="160"/>
      <c r="BIN65" s="160"/>
      <c r="BIO65" s="162"/>
      <c r="BIP65" s="160"/>
      <c r="BIQ65" s="160"/>
      <c r="BIR65" s="160"/>
      <c r="BIS65" s="160"/>
      <c r="BIT65" s="160"/>
      <c r="BIU65" s="163"/>
      <c r="BIV65" s="160"/>
      <c r="BIW65" s="160"/>
      <c r="BIX65" s="160"/>
      <c r="BIY65" s="160"/>
      <c r="BIZ65" s="160"/>
      <c r="BJA65" s="162"/>
      <c r="BJB65" s="160"/>
      <c r="BJC65" s="160"/>
      <c r="BJD65" s="160"/>
      <c r="BJE65" s="160"/>
      <c r="BJF65" s="160"/>
      <c r="BJG65" s="163"/>
      <c r="BJH65" s="160"/>
      <c r="BJI65" s="160"/>
      <c r="BJJ65" s="160"/>
      <c r="BJK65" s="160"/>
      <c r="BJL65" s="160"/>
      <c r="BJM65" s="164"/>
    </row>
    <row r="66" spans="1:1625" ht="20.100000000000001" customHeight="1" x14ac:dyDescent="0.3">
      <c r="A66" s="78" t="s">
        <v>51</v>
      </c>
      <c r="B66" s="51"/>
      <c r="C66" s="225"/>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row>
    <row r="67" spans="1:1625" ht="20.100000000000001" customHeight="1" x14ac:dyDescent="0.25">
      <c r="A67" s="78" t="s">
        <v>50</v>
      </c>
      <c r="B67" s="51"/>
      <c r="C67" s="223"/>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65"/>
      <c r="BHG67" s="166"/>
      <c r="BHH67" s="166"/>
      <c r="BHI67" s="166"/>
      <c r="BHJ67" s="166"/>
      <c r="BHK67" s="167"/>
      <c r="BHL67" s="166"/>
      <c r="BHM67" s="166"/>
      <c r="BHN67" s="166"/>
      <c r="BHO67" s="166"/>
      <c r="BHP67" s="166"/>
      <c r="BHQ67" s="168"/>
      <c r="BHR67" s="166"/>
      <c r="BHS67" s="166"/>
      <c r="BHT67" s="166"/>
      <c r="BHU67" s="166"/>
      <c r="BHV67" s="166"/>
      <c r="BHW67" s="169"/>
      <c r="BHX67" s="166"/>
      <c r="BHY67" s="166"/>
      <c r="BHZ67" s="166"/>
      <c r="BIA67" s="166"/>
      <c r="BIB67" s="166"/>
      <c r="BIC67" s="168"/>
      <c r="BID67" s="166"/>
      <c r="BIE67" s="166"/>
      <c r="BIF67" s="166"/>
      <c r="BIG67" s="166"/>
      <c r="BIH67" s="166"/>
      <c r="BII67" s="169"/>
      <c r="BIJ67" s="166"/>
      <c r="BIK67" s="166"/>
      <c r="BIL67" s="166"/>
      <c r="BIM67" s="166"/>
      <c r="BIN67" s="166"/>
      <c r="BIO67" s="168"/>
      <c r="BIP67" s="166"/>
      <c r="BIQ67" s="166"/>
      <c r="BIR67" s="166"/>
      <c r="BIS67" s="166"/>
      <c r="BIT67" s="166"/>
      <c r="BIU67" s="169"/>
      <c r="BIV67" s="166"/>
      <c r="BIW67" s="166"/>
      <c r="BIX67" s="166"/>
      <c r="BIY67" s="166"/>
      <c r="BIZ67" s="166"/>
      <c r="BJA67" s="168"/>
      <c r="BJB67" s="166"/>
      <c r="BJC67" s="166"/>
      <c r="BJD67" s="166"/>
      <c r="BJE67" s="166"/>
      <c r="BJF67" s="166"/>
      <c r="BJG67" s="169"/>
      <c r="BJH67" s="166"/>
      <c r="BJI67" s="166"/>
      <c r="BJJ67" s="166"/>
      <c r="BJK67" s="166"/>
      <c r="BJL67" s="166"/>
      <c r="BJM67" s="170"/>
    </row>
    <row r="68" spans="1:1625" ht="20.100000000000001" customHeight="1" x14ac:dyDescent="0.25">
      <c r="A68" s="78" t="s">
        <v>51</v>
      </c>
      <c r="B68" s="51"/>
      <c r="C68" s="224"/>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row>
    <row r="69" spans="1:1625" ht="20.100000000000001" customHeight="1" x14ac:dyDescent="0.25">
      <c r="A69" s="78" t="s">
        <v>50</v>
      </c>
      <c r="B69" s="51"/>
      <c r="C69" s="223"/>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59"/>
      <c r="BHG69" s="160"/>
      <c r="BHH69" s="160"/>
      <c r="BHI69" s="160"/>
      <c r="BHJ69" s="160"/>
      <c r="BHK69" s="161"/>
      <c r="BHL69" s="160"/>
      <c r="BHM69" s="160"/>
      <c r="BHN69" s="160"/>
      <c r="BHO69" s="160"/>
      <c r="BHP69" s="160"/>
      <c r="BHQ69" s="162"/>
      <c r="BHR69" s="160"/>
      <c r="BHS69" s="160"/>
      <c r="BHT69" s="160"/>
      <c r="BHU69" s="160"/>
      <c r="BHV69" s="160"/>
      <c r="BHW69" s="163"/>
      <c r="BHX69" s="160"/>
      <c r="BHY69" s="160"/>
      <c r="BHZ69" s="160"/>
      <c r="BIA69" s="160"/>
      <c r="BIB69" s="160"/>
      <c r="BIC69" s="162"/>
      <c r="BID69" s="160"/>
      <c r="BIE69" s="160"/>
      <c r="BIF69" s="160"/>
      <c r="BIG69" s="160"/>
      <c r="BIH69" s="160"/>
      <c r="BII69" s="163"/>
      <c r="BIJ69" s="160"/>
      <c r="BIK69" s="160"/>
      <c r="BIL69" s="160"/>
      <c r="BIM69" s="160"/>
      <c r="BIN69" s="160"/>
      <c r="BIO69" s="162"/>
      <c r="BIP69" s="160"/>
      <c r="BIQ69" s="160"/>
      <c r="BIR69" s="160"/>
      <c r="BIS69" s="160"/>
      <c r="BIT69" s="160"/>
      <c r="BIU69" s="163"/>
      <c r="BIV69" s="160"/>
      <c r="BIW69" s="160"/>
      <c r="BIX69" s="160"/>
      <c r="BIY69" s="160"/>
      <c r="BIZ69" s="160"/>
      <c r="BJA69" s="162"/>
      <c r="BJB69" s="160"/>
      <c r="BJC69" s="160"/>
      <c r="BJD69" s="160"/>
      <c r="BJE69" s="160"/>
      <c r="BJF69" s="160"/>
      <c r="BJG69" s="163"/>
      <c r="BJH69" s="160"/>
      <c r="BJI69" s="160"/>
      <c r="BJJ69" s="160"/>
      <c r="BJK69" s="160"/>
      <c r="BJL69" s="160"/>
      <c r="BJM69" s="164"/>
    </row>
    <row r="70" spans="1:1625" ht="20.100000000000001" customHeight="1" x14ac:dyDescent="0.3">
      <c r="A70" s="78" t="s">
        <v>51</v>
      </c>
      <c r="B70" s="51"/>
      <c r="C70" s="225"/>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row>
    <row r="71" spans="1:1625" ht="20.100000000000001" customHeight="1" x14ac:dyDescent="0.25">
      <c r="A71" s="78" t="s">
        <v>50</v>
      </c>
      <c r="B71" s="51"/>
      <c r="C71" s="223"/>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65"/>
      <c r="BHG71" s="166"/>
      <c r="BHH71" s="166"/>
      <c r="BHI71" s="166"/>
      <c r="BHJ71" s="166"/>
      <c r="BHK71" s="167"/>
      <c r="BHL71" s="166"/>
      <c r="BHM71" s="166"/>
      <c r="BHN71" s="166"/>
      <c r="BHO71" s="166"/>
      <c r="BHP71" s="166"/>
      <c r="BHQ71" s="168"/>
      <c r="BHR71" s="166"/>
      <c r="BHS71" s="166"/>
      <c r="BHT71" s="166"/>
      <c r="BHU71" s="166"/>
      <c r="BHV71" s="166"/>
      <c r="BHW71" s="169"/>
      <c r="BHX71" s="166"/>
      <c r="BHY71" s="166"/>
      <c r="BHZ71" s="166"/>
      <c r="BIA71" s="166"/>
      <c r="BIB71" s="166"/>
      <c r="BIC71" s="168"/>
      <c r="BID71" s="166"/>
      <c r="BIE71" s="166"/>
      <c r="BIF71" s="166"/>
      <c r="BIG71" s="166"/>
      <c r="BIH71" s="166"/>
      <c r="BII71" s="169"/>
      <c r="BIJ71" s="166"/>
      <c r="BIK71" s="166"/>
      <c r="BIL71" s="166"/>
      <c r="BIM71" s="166"/>
      <c r="BIN71" s="166"/>
      <c r="BIO71" s="168"/>
      <c r="BIP71" s="166"/>
      <c r="BIQ71" s="166"/>
      <c r="BIR71" s="166"/>
      <c r="BIS71" s="166"/>
      <c r="BIT71" s="166"/>
      <c r="BIU71" s="169"/>
      <c r="BIV71" s="166"/>
      <c r="BIW71" s="166"/>
      <c r="BIX71" s="166"/>
      <c r="BIY71" s="166"/>
      <c r="BIZ71" s="166"/>
      <c r="BJA71" s="168"/>
      <c r="BJB71" s="166"/>
      <c r="BJC71" s="166"/>
      <c r="BJD71" s="166"/>
      <c r="BJE71" s="166"/>
      <c r="BJF71" s="166"/>
      <c r="BJG71" s="169"/>
      <c r="BJH71" s="166"/>
      <c r="BJI71" s="166"/>
      <c r="BJJ71" s="166"/>
      <c r="BJK71" s="166"/>
      <c r="BJL71" s="166"/>
      <c r="BJM71" s="170"/>
    </row>
    <row r="72" spans="1:1625" ht="20.100000000000001" customHeight="1" x14ac:dyDescent="0.25">
      <c r="A72" s="78" t="s">
        <v>51</v>
      </c>
      <c r="B72" s="51"/>
      <c r="C72" s="224"/>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row>
    <row r="73" spans="1:1625" ht="20.100000000000001" customHeight="1" x14ac:dyDescent="0.25">
      <c r="A73" s="78" t="s">
        <v>50</v>
      </c>
      <c r="B73" s="51"/>
      <c r="C73" s="223"/>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59"/>
      <c r="BHG73" s="160"/>
      <c r="BHH73" s="160"/>
      <c r="BHI73" s="160"/>
      <c r="BHJ73" s="160"/>
      <c r="BHK73" s="161"/>
      <c r="BHL73" s="160"/>
      <c r="BHM73" s="160"/>
      <c r="BHN73" s="160"/>
      <c r="BHO73" s="160"/>
      <c r="BHP73" s="160"/>
      <c r="BHQ73" s="162"/>
      <c r="BHR73" s="160"/>
      <c r="BHS73" s="160"/>
      <c r="BHT73" s="160"/>
      <c r="BHU73" s="160"/>
      <c r="BHV73" s="160"/>
      <c r="BHW73" s="163"/>
      <c r="BHX73" s="160"/>
      <c r="BHY73" s="160"/>
      <c r="BHZ73" s="160"/>
      <c r="BIA73" s="160"/>
      <c r="BIB73" s="160"/>
      <c r="BIC73" s="162"/>
      <c r="BID73" s="160"/>
      <c r="BIE73" s="160"/>
      <c r="BIF73" s="160"/>
      <c r="BIG73" s="160"/>
      <c r="BIH73" s="160"/>
      <c r="BII73" s="163"/>
      <c r="BIJ73" s="160"/>
      <c r="BIK73" s="160"/>
      <c r="BIL73" s="160"/>
      <c r="BIM73" s="160"/>
      <c r="BIN73" s="160"/>
      <c r="BIO73" s="162"/>
      <c r="BIP73" s="160"/>
      <c r="BIQ73" s="160"/>
      <c r="BIR73" s="160"/>
      <c r="BIS73" s="160"/>
      <c r="BIT73" s="160"/>
      <c r="BIU73" s="163"/>
      <c r="BIV73" s="160"/>
      <c r="BIW73" s="160"/>
      <c r="BIX73" s="160"/>
      <c r="BIY73" s="160"/>
      <c r="BIZ73" s="160"/>
      <c r="BJA73" s="162"/>
      <c r="BJB73" s="160"/>
      <c r="BJC73" s="160"/>
      <c r="BJD73" s="160"/>
      <c r="BJE73" s="160"/>
      <c r="BJF73" s="160"/>
      <c r="BJG73" s="163"/>
      <c r="BJH73" s="160"/>
      <c r="BJI73" s="160"/>
      <c r="BJJ73" s="160"/>
      <c r="BJK73" s="160"/>
      <c r="BJL73" s="160"/>
      <c r="BJM73" s="164"/>
    </row>
    <row r="74" spans="1:1625" ht="20.100000000000001" customHeight="1" x14ac:dyDescent="0.3">
      <c r="A74" s="78" t="s">
        <v>51</v>
      </c>
      <c r="B74" s="51"/>
      <c r="C74" s="225"/>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row>
    <row r="75" spans="1:1625" ht="20.100000000000001" customHeight="1" x14ac:dyDescent="0.25">
      <c r="A75" s="78" t="s">
        <v>50</v>
      </c>
      <c r="B75" s="51"/>
      <c r="C75" s="223"/>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59"/>
      <c r="BHG75" s="160"/>
      <c r="BHH75" s="160"/>
      <c r="BHI75" s="160"/>
      <c r="BHJ75" s="160"/>
      <c r="BHK75" s="161"/>
      <c r="BHL75" s="160"/>
      <c r="BHM75" s="160"/>
      <c r="BHN75" s="160"/>
      <c r="BHO75" s="160"/>
      <c r="BHP75" s="160"/>
      <c r="BHQ75" s="162"/>
      <c r="BHR75" s="160"/>
      <c r="BHS75" s="160"/>
      <c r="BHT75" s="160"/>
      <c r="BHU75" s="160"/>
      <c r="BHV75" s="160"/>
      <c r="BHW75" s="163"/>
      <c r="BHX75" s="160"/>
      <c r="BHY75" s="160"/>
      <c r="BHZ75" s="160"/>
      <c r="BIA75" s="160"/>
      <c r="BIB75" s="160"/>
      <c r="BIC75" s="162"/>
      <c r="BID75" s="160"/>
      <c r="BIE75" s="160"/>
      <c r="BIF75" s="160"/>
      <c r="BIG75" s="160"/>
      <c r="BIH75" s="160"/>
      <c r="BII75" s="163"/>
      <c r="BIJ75" s="160"/>
      <c r="BIK75" s="160"/>
      <c r="BIL75" s="160"/>
      <c r="BIM75" s="160"/>
      <c r="BIN75" s="160"/>
      <c r="BIO75" s="162"/>
      <c r="BIP75" s="160"/>
      <c r="BIQ75" s="160"/>
      <c r="BIR75" s="160"/>
      <c r="BIS75" s="160"/>
      <c r="BIT75" s="160"/>
      <c r="BIU75" s="163"/>
      <c r="BIV75" s="160"/>
      <c r="BIW75" s="160"/>
      <c r="BIX75" s="160"/>
      <c r="BIY75" s="160"/>
      <c r="BIZ75" s="160"/>
      <c r="BJA75" s="162"/>
      <c r="BJB75" s="160"/>
      <c r="BJC75" s="160"/>
      <c r="BJD75" s="160"/>
      <c r="BJE75" s="160"/>
      <c r="BJF75" s="160"/>
      <c r="BJG75" s="163"/>
      <c r="BJH75" s="160"/>
      <c r="BJI75" s="160"/>
      <c r="BJJ75" s="160"/>
      <c r="BJK75" s="160"/>
      <c r="BJL75" s="160"/>
      <c r="BJM75" s="164"/>
    </row>
    <row r="76" spans="1:1625" ht="20.100000000000001" customHeight="1" x14ac:dyDescent="0.3">
      <c r="A76" s="78" t="s">
        <v>51</v>
      </c>
      <c r="B76" s="51"/>
      <c r="C76" s="225"/>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row>
    <row r="77" spans="1:1625" ht="20.100000000000001" customHeight="1" x14ac:dyDescent="0.25">
      <c r="A77" s="78" t="s">
        <v>50</v>
      </c>
      <c r="B77" s="51"/>
      <c r="C77" s="223"/>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65"/>
      <c r="BHG77" s="166"/>
      <c r="BHH77" s="166"/>
      <c r="BHI77" s="166"/>
      <c r="BHJ77" s="166"/>
      <c r="BHK77" s="167"/>
      <c r="BHL77" s="166"/>
      <c r="BHM77" s="166"/>
      <c r="BHN77" s="166"/>
      <c r="BHO77" s="166"/>
      <c r="BHP77" s="166"/>
      <c r="BHQ77" s="168"/>
      <c r="BHR77" s="166"/>
      <c r="BHS77" s="166"/>
      <c r="BHT77" s="166"/>
      <c r="BHU77" s="166"/>
      <c r="BHV77" s="166"/>
      <c r="BHW77" s="169"/>
      <c r="BHX77" s="166"/>
      <c r="BHY77" s="166"/>
      <c r="BHZ77" s="166"/>
      <c r="BIA77" s="166"/>
      <c r="BIB77" s="166"/>
      <c r="BIC77" s="168"/>
      <c r="BID77" s="166"/>
      <c r="BIE77" s="166"/>
      <c r="BIF77" s="166"/>
      <c r="BIG77" s="166"/>
      <c r="BIH77" s="166"/>
      <c r="BII77" s="169"/>
      <c r="BIJ77" s="166"/>
      <c r="BIK77" s="166"/>
      <c r="BIL77" s="166"/>
      <c r="BIM77" s="166"/>
      <c r="BIN77" s="166"/>
      <c r="BIO77" s="168"/>
      <c r="BIP77" s="166"/>
      <c r="BIQ77" s="166"/>
      <c r="BIR77" s="166"/>
      <c r="BIS77" s="166"/>
      <c r="BIT77" s="166"/>
      <c r="BIU77" s="169"/>
      <c r="BIV77" s="166"/>
      <c r="BIW77" s="166"/>
      <c r="BIX77" s="166"/>
      <c r="BIY77" s="166"/>
      <c r="BIZ77" s="166"/>
      <c r="BJA77" s="168"/>
      <c r="BJB77" s="166"/>
      <c r="BJC77" s="166"/>
      <c r="BJD77" s="166"/>
      <c r="BJE77" s="166"/>
      <c r="BJF77" s="166"/>
      <c r="BJG77" s="169"/>
      <c r="BJH77" s="166"/>
      <c r="BJI77" s="166"/>
      <c r="BJJ77" s="166"/>
      <c r="BJK77" s="166"/>
      <c r="BJL77" s="166"/>
      <c r="BJM77" s="170"/>
    </row>
    <row r="78" spans="1:1625" ht="20.100000000000001" customHeight="1" x14ac:dyDescent="0.25">
      <c r="A78" s="78" t="s">
        <v>51</v>
      </c>
      <c r="B78" s="51"/>
      <c r="C78" s="224"/>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row>
    <row r="79" spans="1:1625" ht="20.100000000000001" customHeight="1" x14ac:dyDescent="0.25">
      <c r="A79" s="78" t="s">
        <v>50</v>
      </c>
      <c r="B79" s="51"/>
      <c r="C79" s="223"/>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59"/>
      <c r="BHG79" s="160"/>
      <c r="BHH79" s="160"/>
      <c r="BHI79" s="160"/>
      <c r="BHJ79" s="160"/>
      <c r="BHK79" s="161"/>
      <c r="BHL79" s="160"/>
      <c r="BHM79" s="160"/>
      <c r="BHN79" s="160"/>
      <c r="BHO79" s="160"/>
      <c r="BHP79" s="160"/>
      <c r="BHQ79" s="162"/>
      <c r="BHR79" s="160"/>
      <c r="BHS79" s="160"/>
      <c r="BHT79" s="160"/>
      <c r="BHU79" s="160"/>
      <c r="BHV79" s="160"/>
      <c r="BHW79" s="163"/>
      <c r="BHX79" s="160"/>
      <c r="BHY79" s="160"/>
      <c r="BHZ79" s="160"/>
      <c r="BIA79" s="160"/>
      <c r="BIB79" s="160"/>
      <c r="BIC79" s="162"/>
      <c r="BID79" s="160"/>
      <c r="BIE79" s="160"/>
      <c r="BIF79" s="160"/>
      <c r="BIG79" s="160"/>
      <c r="BIH79" s="160"/>
      <c r="BII79" s="163"/>
      <c r="BIJ79" s="160"/>
      <c r="BIK79" s="160"/>
      <c r="BIL79" s="160"/>
      <c r="BIM79" s="160"/>
      <c r="BIN79" s="160"/>
      <c r="BIO79" s="162"/>
      <c r="BIP79" s="160"/>
      <c r="BIQ79" s="160"/>
      <c r="BIR79" s="160"/>
      <c r="BIS79" s="160"/>
      <c r="BIT79" s="160"/>
      <c r="BIU79" s="163"/>
      <c r="BIV79" s="160"/>
      <c r="BIW79" s="160"/>
      <c r="BIX79" s="160"/>
      <c r="BIY79" s="160"/>
      <c r="BIZ79" s="160"/>
      <c r="BJA79" s="162"/>
      <c r="BJB79" s="160"/>
      <c r="BJC79" s="160"/>
      <c r="BJD79" s="160"/>
      <c r="BJE79" s="160"/>
      <c r="BJF79" s="160"/>
      <c r="BJG79" s="163"/>
      <c r="BJH79" s="160"/>
      <c r="BJI79" s="160"/>
      <c r="BJJ79" s="160"/>
      <c r="BJK79" s="160"/>
      <c r="BJL79" s="160"/>
      <c r="BJM79" s="164"/>
    </row>
    <row r="80" spans="1:1625" ht="20.100000000000001" customHeight="1" x14ac:dyDescent="0.3">
      <c r="A80" s="78" t="s">
        <v>51</v>
      </c>
      <c r="B80" s="51"/>
      <c r="C80" s="225"/>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row>
    <row r="81" spans="1:1625" ht="20.100000000000001" customHeight="1" x14ac:dyDescent="0.25">
      <c r="A81" s="78" t="s">
        <v>50</v>
      </c>
      <c r="B81" s="51"/>
      <c r="C81" s="223"/>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65"/>
      <c r="BHG81" s="166"/>
      <c r="BHH81" s="166"/>
      <c r="BHI81" s="166"/>
      <c r="BHJ81" s="166"/>
      <c r="BHK81" s="167"/>
      <c r="BHL81" s="166"/>
      <c r="BHM81" s="166"/>
      <c r="BHN81" s="166"/>
      <c r="BHO81" s="166"/>
      <c r="BHP81" s="166"/>
      <c r="BHQ81" s="168"/>
      <c r="BHR81" s="166"/>
      <c r="BHS81" s="166"/>
      <c r="BHT81" s="166"/>
      <c r="BHU81" s="166"/>
      <c r="BHV81" s="166"/>
      <c r="BHW81" s="169"/>
      <c r="BHX81" s="166"/>
      <c r="BHY81" s="166"/>
      <c r="BHZ81" s="166"/>
      <c r="BIA81" s="166"/>
      <c r="BIB81" s="166"/>
      <c r="BIC81" s="168"/>
      <c r="BID81" s="166"/>
      <c r="BIE81" s="166"/>
      <c r="BIF81" s="166"/>
      <c r="BIG81" s="166"/>
      <c r="BIH81" s="166"/>
      <c r="BII81" s="169"/>
      <c r="BIJ81" s="166"/>
      <c r="BIK81" s="166"/>
      <c r="BIL81" s="166"/>
      <c r="BIM81" s="166"/>
      <c r="BIN81" s="166"/>
      <c r="BIO81" s="168"/>
      <c r="BIP81" s="166"/>
      <c r="BIQ81" s="166"/>
      <c r="BIR81" s="166"/>
      <c r="BIS81" s="166"/>
      <c r="BIT81" s="166"/>
      <c r="BIU81" s="169"/>
      <c r="BIV81" s="166"/>
      <c r="BIW81" s="166"/>
      <c r="BIX81" s="166"/>
      <c r="BIY81" s="166"/>
      <c r="BIZ81" s="166"/>
      <c r="BJA81" s="168"/>
      <c r="BJB81" s="166"/>
      <c r="BJC81" s="166"/>
      <c r="BJD81" s="166"/>
      <c r="BJE81" s="166"/>
      <c r="BJF81" s="166"/>
      <c r="BJG81" s="169"/>
      <c r="BJH81" s="166"/>
      <c r="BJI81" s="166"/>
      <c r="BJJ81" s="166"/>
      <c r="BJK81" s="166"/>
      <c r="BJL81" s="166"/>
      <c r="BJM81" s="170"/>
    </row>
    <row r="82" spans="1:1625" ht="20.100000000000001" customHeight="1" x14ac:dyDescent="0.3">
      <c r="A82" s="78" t="s">
        <v>51</v>
      </c>
      <c r="B82" s="51"/>
      <c r="C82" s="225"/>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row>
    <row r="83" spans="1:1625" ht="20.100000000000001" customHeight="1" x14ac:dyDescent="0.25">
      <c r="A83" s="78" t="s">
        <v>50</v>
      </c>
      <c r="B83" s="51"/>
      <c r="C83" s="223"/>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59"/>
      <c r="BHG83" s="160"/>
      <c r="BHH83" s="160"/>
      <c r="BHI83" s="160"/>
      <c r="BHJ83" s="160"/>
      <c r="BHK83" s="161"/>
      <c r="BHL83" s="160"/>
      <c r="BHM83" s="160"/>
      <c r="BHN83" s="160"/>
      <c r="BHO83" s="160"/>
      <c r="BHP83" s="160"/>
      <c r="BHQ83" s="162"/>
      <c r="BHR83" s="160"/>
      <c r="BHS83" s="160"/>
      <c r="BHT83" s="160"/>
      <c r="BHU83" s="160"/>
      <c r="BHV83" s="160"/>
      <c r="BHW83" s="163"/>
      <c r="BHX83" s="160"/>
      <c r="BHY83" s="160"/>
      <c r="BHZ83" s="160"/>
      <c r="BIA83" s="160"/>
      <c r="BIB83" s="160"/>
      <c r="BIC83" s="162"/>
      <c r="BID83" s="160"/>
      <c r="BIE83" s="160"/>
      <c r="BIF83" s="160"/>
      <c r="BIG83" s="160"/>
      <c r="BIH83" s="160"/>
      <c r="BII83" s="163"/>
      <c r="BIJ83" s="160"/>
      <c r="BIK83" s="160"/>
      <c r="BIL83" s="160"/>
      <c r="BIM83" s="160"/>
      <c r="BIN83" s="160"/>
      <c r="BIO83" s="162"/>
      <c r="BIP83" s="160"/>
      <c r="BIQ83" s="160"/>
      <c r="BIR83" s="160"/>
      <c r="BIS83" s="160"/>
      <c r="BIT83" s="160"/>
      <c r="BIU83" s="163"/>
      <c r="BIV83" s="160"/>
      <c r="BIW83" s="160"/>
      <c r="BIX83" s="160"/>
      <c r="BIY83" s="160"/>
      <c r="BIZ83" s="160"/>
      <c r="BJA83" s="162"/>
      <c r="BJB83" s="160"/>
      <c r="BJC83" s="160"/>
      <c r="BJD83" s="160"/>
      <c r="BJE83" s="160"/>
      <c r="BJF83" s="160"/>
      <c r="BJG83" s="163"/>
      <c r="BJH83" s="160"/>
      <c r="BJI83" s="160"/>
      <c r="BJJ83" s="160"/>
      <c r="BJK83" s="160"/>
      <c r="BJL83" s="160"/>
      <c r="BJM83" s="164"/>
    </row>
    <row r="84" spans="1:1625" ht="20.100000000000001" customHeight="1" x14ac:dyDescent="0.25">
      <c r="A84" s="78" t="s">
        <v>51</v>
      </c>
      <c r="B84" s="51"/>
      <c r="C84" s="224"/>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row>
    <row r="85" spans="1:1625" ht="20.100000000000001" customHeight="1" x14ac:dyDescent="0.25">
      <c r="A85" s="78" t="s">
        <v>50</v>
      </c>
      <c r="B85" s="51"/>
      <c r="C85" s="223"/>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65"/>
      <c r="BHG85" s="166"/>
      <c r="BHH85" s="166"/>
      <c r="BHI85" s="166"/>
      <c r="BHJ85" s="166"/>
      <c r="BHK85" s="167"/>
      <c r="BHL85" s="166"/>
      <c r="BHM85" s="166"/>
      <c r="BHN85" s="166"/>
      <c r="BHO85" s="166"/>
      <c r="BHP85" s="166"/>
      <c r="BHQ85" s="168"/>
      <c r="BHR85" s="166"/>
      <c r="BHS85" s="166"/>
      <c r="BHT85" s="166"/>
      <c r="BHU85" s="166"/>
      <c r="BHV85" s="166"/>
      <c r="BHW85" s="169"/>
      <c r="BHX85" s="166"/>
      <c r="BHY85" s="166"/>
      <c r="BHZ85" s="166"/>
      <c r="BIA85" s="166"/>
      <c r="BIB85" s="166"/>
      <c r="BIC85" s="168"/>
      <c r="BID85" s="166"/>
      <c r="BIE85" s="166"/>
      <c r="BIF85" s="166"/>
      <c r="BIG85" s="166"/>
      <c r="BIH85" s="166"/>
      <c r="BII85" s="169"/>
      <c r="BIJ85" s="166"/>
      <c r="BIK85" s="166"/>
      <c r="BIL85" s="166"/>
      <c r="BIM85" s="166"/>
      <c r="BIN85" s="166"/>
      <c r="BIO85" s="168"/>
      <c r="BIP85" s="166"/>
      <c r="BIQ85" s="166"/>
      <c r="BIR85" s="166"/>
      <c r="BIS85" s="166"/>
      <c r="BIT85" s="166"/>
      <c r="BIU85" s="169"/>
      <c r="BIV85" s="166"/>
      <c r="BIW85" s="166"/>
      <c r="BIX85" s="166"/>
      <c r="BIY85" s="166"/>
      <c r="BIZ85" s="166"/>
      <c r="BJA85" s="168"/>
      <c r="BJB85" s="166"/>
      <c r="BJC85" s="166"/>
      <c r="BJD85" s="166"/>
      <c r="BJE85" s="166"/>
      <c r="BJF85" s="166"/>
      <c r="BJG85" s="169"/>
      <c r="BJH85" s="166"/>
      <c r="BJI85" s="166"/>
      <c r="BJJ85" s="166"/>
      <c r="BJK85" s="166"/>
      <c r="BJL85" s="166"/>
      <c r="BJM85" s="170"/>
    </row>
    <row r="86" spans="1:1625" ht="20.100000000000001" customHeight="1" x14ac:dyDescent="0.3">
      <c r="A86" s="78" t="s">
        <v>51</v>
      </c>
      <c r="B86" s="51"/>
      <c r="C86" s="225"/>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row>
    <row r="87" spans="1:1625" ht="20.100000000000001" customHeight="1" x14ac:dyDescent="0.25">
      <c r="A87" s="78" t="s">
        <v>50</v>
      </c>
      <c r="B87" s="51"/>
      <c r="C87" s="223"/>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59"/>
      <c r="BHG87" s="160"/>
      <c r="BHH87" s="160"/>
      <c r="BHI87" s="160"/>
      <c r="BHJ87" s="160"/>
      <c r="BHK87" s="161"/>
      <c r="BHL87" s="160"/>
      <c r="BHM87" s="160"/>
      <c r="BHN87" s="160"/>
      <c r="BHO87" s="160"/>
      <c r="BHP87" s="160"/>
      <c r="BHQ87" s="162"/>
      <c r="BHR87" s="160"/>
      <c r="BHS87" s="160"/>
      <c r="BHT87" s="160"/>
      <c r="BHU87" s="160"/>
      <c r="BHV87" s="160"/>
      <c r="BHW87" s="163"/>
      <c r="BHX87" s="160"/>
      <c r="BHY87" s="160"/>
      <c r="BHZ87" s="160"/>
      <c r="BIA87" s="160"/>
      <c r="BIB87" s="160"/>
      <c r="BIC87" s="162"/>
      <c r="BID87" s="160"/>
      <c r="BIE87" s="160"/>
      <c r="BIF87" s="160"/>
      <c r="BIG87" s="160"/>
      <c r="BIH87" s="160"/>
      <c r="BII87" s="163"/>
      <c r="BIJ87" s="160"/>
      <c r="BIK87" s="160"/>
      <c r="BIL87" s="160"/>
      <c r="BIM87" s="160"/>
      <c r="BIN87" s="160"/>
      <c r="BIO87" s="162"/>
      <c r="BIP87" s="160"/>
      <c r="BIQ87" s="160"/>
      <c r="BIR87" s="160"/>
      <c r="BIS87" s="160"/>
      <c r="BIT87" s="160"/>
      <c r="BIU87" s="163"/>
      <c r="BIV87" s="160"/>
      <c r="BIW87" s="160"/>
      <c r="BIX87" s="160"/>
      <c r="BIY87" s="160"/>
      <c r="BIZ87" s="160"/>
      <c r="BJA87" s="162"/>
      <c r="BJB87" s="160"/>
      <c r="BJC87" s="160"/>
      <c r="BJD87" s="160"/>
      <c r="BJE87" s="160"/>
      <c r="BJF87" s="160"/>
      <c r="BJG87" s="163"/>
      <c r="BJH87" s="160"/>
      <c r="BJI87" s="160"/>
      <c r="BJJ87" s="160"/>
      <c r="BJK87" s="160"/>
      <c r="BJL87" s="160"/>
      <c r="BJM87" s="164"/>
    </row>
    <row r="88" spans="1:1625" ht="20.100000000000001" customHeight="1" x14ac:dyDescent="0.25">
      <c r="A88" s="78" t="s">
        <v>51</v>
      </c>
      <c r="B88" s="51"/>
      <c r="C88" s="224"/>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row>
    <row r="89" spans="1:1625" ht="20.100000000000001" customHeight="1" x14ac:dyDescent="0.25">
      <c r="A89" s="78" t="s">
        <v>50</v>
      </c>
      <c r="B89" s="51"/>
      <c r="C89" s="223"/>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59"/>
      <c r="BHG89" s="160"/>
      <c r="BHH89" s="160"/>
      <c r="BHI89" s="160"/>
      <c r="BHJ89" s="160"/>
      <c r="BHK89" s="161"/>
      <c r="BHL89" s="160"/>
      <c r="BHM89" s="160"/>
      <c r="BHN89" s="160"/>
      <c r="BHO89" s="160"/>
      <c r="BHP89" s="160"/>
      <c r="BHQ89" s="162"/>
      <c r="BHR89" s="160"/>
      <c r="BHS89" s="160"/>
      <c r="BHT89" s="160"/>
      <c r="BHU89" s="160"/>
      <c r="BHV89" s="160"/>
      <c r="BHW89" s="163"/>
      <c r="BHX89" s="160"/>
      <c r="BHY89" s="160"/>
      <c r="BHZ89" s="160"/>
      <c r="BIA89" s="160"/>
      <c r="BIB89" s="160"/>
      <c r="BIC89" s="162"/>
      <c r="BID89" s="160"/>
      <c r="BIE89" s="160"/>
      <c r="BIF89" s="160"/>
      <c r="BIG89" s="160"/>
      <c r="BIH89" s="160"/>
      <c r="BII89" s="163"/>
      <c r="BIJ89" s="160"/>
      <c r="BIK89" s="160"/>
      <c r="BIL89" s="160"/>
      <c r="BIM89" s="160"/>
      <c r="BIN89" s="160"/>
      <c r="BIO89" s="162"/>
      <c r="BIP89" s="160"/>
      <c r="BIQ89" s="160"/>
      <c r="BIR89" s="160"/>
      <c r="BIS89" s="160"/>
      <c r="BIT89" s="160"/>
      <c r="BIU89" s="163"/>
      <c r="BIV89" s="160"/>
      <c r="BIW89" s="160"/>
      <c r="BIX89" s="160"/>
      <c r="BIY89" s="160"/>
      <c r="BIZ89" s="160"/>
      <c r="BJA89" s="162"/>
      <c r="BJB89" s="160"/>
      <c r="BJC89" s="160"/>
      <c r="BJD89" s="160"/>
      <c r="BJE89" s="160"/>
      <c r="BJF89" s="160"/>
      <c r="BJG89" s="163"/>
      <c r="BJH89" s="160"/>
      <c r="BJI89" s="160"/>
      <c r="BJJ89" s="160"/>
      <c r="BJK89" s="160"/>
      <c r="BJL89" s="160"/>
      <c r="BJM89" s="164"/>
    </row>
    <row r="90" spans="1:1625" ht="20.100000000000001" customHeight="1" x14ac:dyDescent="0.3">
      <c r="A90" s="78" t="s">
        <v>51</v>
      </c>
      <c r="B90" s="51"/>
      <c r="C90" s="225"/>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row>
    <row r="91" spans="1:1625" ht="20.100000000000001" customHeight="1" x14ac:dyDescent="0.25">
      <c r="A91" s="78" t="s">
        <v>50</v>
      </c>
      <c r="B91" s="51"/>
      <c r="C91" s="223"/>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65"/>
      <c r="BHG91" s="166"/>
      <c r="BHH91" s="166"/>
      <c r="BHI91" s="166"/>
      <c r="BHJ91" s="166"/>
      <c r="BHK91" s="167"/>
      <c r="BHL91" s="166"/>
      <c r="BHM91" s="166"/>
      <c r="BHN91" s="166"/>
      <c r="BHO91" s="166"/>
      <c r="BHP91" s="166"/>
      <c r="BHQ91" s="168"/>
      <c r="BHR91" s="166"/>
      <c r="BHS91" s="166"/>
      <c r="BHT91" s="166"/>
      <c r="BHU91" s="166"/>
      <c r="BHV91" s="166"/>
      <c r="BHW91" s="169"/>
      <c r="BHX91" s="166"/>
      <c r="BHY91" s="166"/>
      <c r="BHZ91" s="166"/>
      <c r="BIA91" s="166"/>
      <c r="BIB91" s="166"/>
      <c r="BIC91" s="168"/>
      <c r="BID91" s="166"/>
      <c r="BIE91" s="166"/>
      <c r="BIF91" s="166"/>
      <c r="BIG91" s="166"/>
      <c r="BIH91" s="166"/>
      <c r="BII91" s="169"/>
      <c r="BIJ91" s="166"/>
      <c r="BIK91" s="166"/>
      <c r="BIL91" s="166"/>
      <c r="BIM91" s="166"/>
      <c r="BIN91" s="166"/>
      <c r="BIO91" s="168"/>
      <c r="BIP91" s="166"/>
      <c r="BIQ91" s="166"/>
      <c r="BIR91" s="166"/>
      <c r="BIS91" s="166"/>
      <c r="BIT91" s="166"/>
      <c r="BIU91" s="169"/>
      <c r="BIV91" s="166"/>
      <c r="BIW91" s="166"/>
      <c r="BIX91" s="166"/>
      <c r="BIY91" s="166"/>
      <c r="BIZ91" s="166"/>
      <c r="BJA91" s="168"/>
      <c r="BJB91" s="166"/>
      <c r="BJC91" s="166"/>
      <c r="BJD91" s="166"/>
      <c r="BJE91" s="166"/>
      <c r="BJF91" s="166"/>
      <c r="BJG91" s="169"/>
      <c r="BJH91" s="166"/>
      <c r="BJI91" s="166"/>
      <c r="BJJ91" s="166"/>
      <c r="BJK91" s="166"/>
      <c r="BJL91" s="166"/>
      <c r="BJM91" s="170"/>
    </row>
    <row r="92" spans="1:1625" ht="20.100000000000001" customHeight="1" x14ac:dyDescent="0.3">
      <c r="A92" s="78" t="s">
        <v>51</v>
      </c>
      <c r="B92" s="51"/>
      <c r="C92" s="225"/>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row>
    <row r="93" spans="1:1625" ht="20.100000000000001" customHeight="1" x14ac:dyDescent="0.25">
      <c r="A93" s="78" t="s">
        <v>50</v>
      </c>
      <c r="B93" s="51"/>
      <c r="C93" s="223"/>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59"/>
      <c r="BHG93" s="160"/>
      <c r="BHH93" s="160"/>
      <c r="BHI93" s="160"/>
      <c r="BHJ93" s="160"/>
      <c r="BHK93" s="161"/>
      <c r="BHL93" s="160"/>
      <c r="BHM93" s="160"/>
      <c r="BHN93" s="160"/>
      <c r="BHO93" s="160"/>
      <c r="BHP93" s="160"/>
      <c r="BHQ93" s="162"/>
      <c r="BHR93" s="160"/>
      <c r="BHS93" s="160"/>
      <c r="BHT93" s="160"/>
      <c r="BHU93" s="160"/>
      <c r="BHV93" s="160"/>
      <c r="BHW93" s="163"/>
      <c r="BHX93" s="160"/>
      <c r="BHY93" s="160"/>
      <c r="BHZ93" s="160"/>
      <c r="BIA93" s="160"/>
      <c r="BIB93" s="160"/>
      <c r="BIC93" s="162"/>
      <c r="BID93" s="160"/>
      <c r="BIE93" s="160"/>
      <c r="BIF93" s="160"/>
      <c r="BIG93" s="160"/>
      <c r="BIH93" s="160"/>
      <c r="BII93" s="163"/>
      <c r="BIJ93" s="160"/>
      <c r="BIK93" s="160"/>
      <c r="BIL93" s="160"/>
      <c r="BIM93" s="160"/>
      <c r="BIN93" s="160"/>
      <c r="BIO93" s="162"/>
      <c r="BIP93" s="160"/>
      <c r="BIQ93" s="160"/>
      <c r="BIR93" s="160"/>
      <c r="BIS93" s="160"/>
      <c r="BIT93" s="160"/>
      <c r="BIU93" s="163"/>
      <c r="BIV93" s="160"/>
      <c r="BIW93" s="160"/>
      <c r="BIX93" s="160"/>
      <c r="BIY93" s="160"/>
      <c r="BIZ93" s="160"/>
      <c r="BJA93" s="162"/>
      <c r="BJB93" s="160"/>
      <c r="BJC93" s="160"/>
      <c r="BJD93" s="160"/>
      <c r="BJE93" s="160"/>
      <c r="BJF93" s="160"/>
      <c r="BJG93" s="163"/>
      <c r="BJH93" s="160"/>
      <c r="BJI93" s="160"/>
      <c r="BJJ93" s="160"/>
      <c r="BJK93" s="160"/>
      <c r="BJL93" s="160"/>
      <c r="BJM93" s="164"/>
    </row>
    <row r="94" spans="1:1625" ht="20.100000000000001" customHeight="1" x14ac:dyDescent="0.25">
      <c r="A94" s="78" t="s">
        <v>51</v>
      </c>
      <c r="B94" s="51"/>
      <c r="C94" s="224"/>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row>
    <row r="95" spans="1:1625" ht="20.100000000000001" customHeight="1" x14ac:dyDescent="0.25">
      <c r="B95" s="51"/>
      <c r="C95" s="237" t="s">
        <v>55</v>
      </c>
      <c r="D95" s="238"/>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row>
    <row r="96" spans="1:1625" ht="20.100000000000001" customHeight="1" thickBot="1" x14ac:dyDescent="0.3">
      <c r="B96" s="51"/>
      <c r="C96" s="239"/>
      <c r="D96" s="240"/>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row>
    <row r="97" spans="2:1625" ht="20.100000000000001" customHeight="1" x14ac:dyDescent="0.25">
      <c r="B97" s="51"/>
      <c r="C97" s="233" t="s">
        <v>56</v>
      </c>
      <c r="D97" s="234"/>
      <c r="E97" s="93">
        <f>SUM(E16,E18,E20,E22,E24,E26,E28,E30,E32,E34,E36,E38,E40,E42,E44,E46,E48,E50,E52,E54,E56,E58,E60,E62,E64,E66,E68,E70,E72,E74,E76,E78,E80,E82,E84,E86,E88,E90,E92,E94)</f>
        <v>837</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row>
    <row r="98" spans="2:1625" ht="20.100000000000001" customHeight="1" thickBot="1" x14ac:dyDescent="0.3">
      <c r="B98" s="51"/>
      <c r="C98" s="235"/>
      <c r="D98" s="236"/>
      <c r="E98" s="97" t="str">
        <f xml:space="preserve"> setValueToTime(E97)</f>
        <v>69h 45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row>
    <row r="99" spans="2:1625"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row>
  </sheetData>
  <sheetProtection insertRows="0" insertHyperlinks="0" selectLockedCells="1"/>
  <sortState xmlns:xlrd2="http://schemas.microsoft.com/office/spreadsheetml/2017/richdata2" ref="C15:C94">
    <sortCondition ref="C15:C94"/>
  </sortState>
  <mergeCells count="401">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115" zoomScaleNormal="115"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45810</v>
      </c>
      <c r="G2" s="101" t="s">
        <v>78</v>
      </c>
      <c r="H2" s="151"/>
    </row>
    <row r="3" spans="1:8" s="39" customFormat="1" ht="30" customHeight="1" thickBot="1" x14ac:dyDescent="0.3">
      <c r="B3" s="63" t="s">
        <v>59</v>
      </c>
      <c r="C3" s="123" t="s">
        <v>60</v>
      </c>
      <c r="D3" s="124"/>
      <c r="E3" s="63" t="s">
        <v>61</v>
      </c>
      <c r="F3" s="246" t="s">
        <v>62</v>
      </c>
      <c r="G3" s="247"/>
      <c r="H3" s="151"/>
    </row>
    <row r="4" spans="1:8" s="43" customFormat="1" x14ac:dyDescent="0.3">
      <c r="B4" s="40" t="s">
        <v>54</v>
      </c>
      <c r="C4" s="41">
        <v>23</v>
      </c>
      <c r="D4" s="125" t="str">
        <f xml:space="preserve"> IF(C4="","",setValueToTime(C4))</f>
        <v>1h 55 min</v>
      </c>
      <c r="E4" s="42" t="s">
        <v>141</v>
      </c>
      <c r="F4" s="248"/>
      <c r="G4" s="249"/>
      <c r="H4" s="152"/>
    </row>
    <row r="5" spans="1:8" s="43" customFormat="1" x14ac:dyDescent="0.3">
      <c r="B5" s="44" t="s">
        <v>70</v>
      </c>
      <c r="C5" s="45">
        <v>6</v>
      </c>
      <c r="D5" s="126" t="str">
        <f t="shared" ref="D5:D11" si="0" xml:space="preserve"> IF(C5="","",setValueToTime(C5))</f>
        <v xml:space="preserve"> 30 min</v>
      </c>
      <c r="E5" s="46" t="s">
        <v>124</v>
      </c>
      <c r="F5" s="250"/>
      <c r="G5" s="251"/>
      <c r="H5" s="152"/>
    </row>
    <row r="6" spans="1:8" s="43" customFormat="1" x14ac:dyDescent="0.3">
      <c r="B6" s="44" t="s">
        <v>53</v>
      </c>
      <c r="C6" s="45">
        <v>8</v>
      </c>
      <c r="D6" s="126" t="str">
        <f t="shared" si="0"/>
        <v xml:space="preserve"> 40 min</v>
      </c>
      <c r="E6" s="46" t="s">
        <v>142</v>
      </c>
      <c r="F6" s="250"/>
      <c r="G6" s="251"/>
      <c r="H6" s="152"/>
    </row>
    <row r="7" spans="1:8" s="43" customFormat="1" x14ac:dyDescent="0.3">
      <c r="B7" s="44"/>
      <c r="C7" s="45"/>
      <c r="D7" s="126" t="str">
        <f t="shared" si="0"/>
        <v/>
      </c>
      <c r="E7" s="46"/>
      <c r="F7" s="250"/>
      <c r="G7" s="251"/>
      <c r="H7" s="152"/>
    </row>
    <row r="8" spans="1:8" s="43" customFormat="1" x14ac:dyDescent="0.3">
      <c r="B8" s="44"/>
      <c r="C8" s="45"/>
      <c r="D8" s="127" t="str">
        <f t="shared" si="0"/>
        <v/>
      </c>
      <c r="E8" s="46"/>
      <c r="F8" s="250"/>
      <c r="G8" s="251"/>
      <c r="H8" s="152"/>
    </row>
    <row r="9" spans="1:8" s="43" customFormat="1" x14ac:dyDescent="0.3">
      <c r="B9" s="44"/>
      <c r="C9" s="45"/>
      <c r="D9" s="127" t="str">
        <f t="shared" si="0"/>
        <v/>
      </c>
      <c r="E9" s="46"/>
      <c r="F9" s="250"/>
      <c r="G9" s="251"/>
      <c r="H9" s="152"/>
    </row>
    <row r="10" spans="1:8" s="43" customFormat="1" x14ac:dyDescent="0.3">
      <c r="B10" s="44"/>
      <c r="C10" s="45"/>
      <c r="D10" s="127" t="str">
        <f t="shared" si="0"/>
        <v/>
      </c>
      <c r="E10" s="46"/>
      <c r="F10" s="250"/>
      <c r="G10" s="251"/>
      <c r="H10" s="152"/>
    </row>
    <row r="11" spans="1:8" s="43" customFormat="1" ht="15" thickBot="1" x14ac:dyDescent="0.35">
      <c r="B11" s="44" t="s">
        <v>53</v>
      </c>
      <c r="C11" s="45">
        <v>1</v>
      </c>
      <c r="D11" s="128" t="str">
        <f t="shared" si="0"/>
        <v xml:space="preserve"> 5 min</v>
      </c>
      <c r="E11" s="48" t="s">
        <v>86</v>
      </c>
      <c r="F11" s="254"/>
      <c r="G11" s="255"/>
      <c r="H11" s="152"/>
    </row>
    <row r="12" spans="1:8" s="43" customFormat="1" ht="15" thickBot="1" x14ac:dyDescent="0.35">
      <c r="B12" s="86" t="s">
        <v>64</v>
      </c>
      <c r="C12" s="67">
        <f>SUM(C4:C11)</f>
        <v>38</v>
      </c>
      <c r="D12" s="86" t="str">
        <f xml:space="preserve"> setValueToTime(C12)</f>
        <v>3h 10 min</v>
      </c>
      <c r="E12" s="95"/>
      <c r="F12" s="252"/>
      <c r="G12" s="253"/>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45805</v>
      </c>
      <c r="G14" s="101" t="s">
        <v>79</v>
      </c>
      <c r="H14" s="151"/>
    </row>
    <row r="15" spans="1:8" s="39" customFormat="1" ht="30" customHeight="1" thickBot="1" x14ac:dyDescent="0.3">
      <c r="B15" s="63" t="s">
        <v>59</v>
      </c>
      <c r="C15" s="123" t="s">
        <v>60</v>
      </c>
      <c r="D15" s="124"/>
      <c r="E15" s="63" t="s">
        <v>61</v>
      </c>
      <c r="F15" s="246" t="s">
        <v>62</v>
      </c>
      <c r="G15" s="247"/>
      <c r="H15" s="151"/>
    </row>
    <row r="16" spans="1:8" s="43" customFormat="1" x14ac:dyDescent="0.3">
      <c r="B16" s="40" t="s">
        <v>54</v>
      </c>
      <c r="C16" s="41">
        <v>22</v>
      </c>
      <c r="D16" s="125" t="str">
        <f xml:space="preserve"> IF(C16="","",setValueToTime(C16))</f>
        <v>1h 50 min</v>
      </c>
      <c r="E16" s="42" t="s">
        <v>140</v>
      </c>
      <c r="F16" s="248"/>
      <c r="G16" s="249"/>
      <c r="H16" s="152"/>
    </row>
    <row r="17" spans="2:8" s="43" customFormat="1" x14ac:dyDescent="0.3">
      <c r="B17" s="44" t="s">
        <v>70</v>
      </c>
      <c r="C17" s="45">
        <v>15</v>
      </c>
      <c r="D17" s="126" t="str">
        <f t="shared" ref="D17:D23" si="1" xml:space="preserve"> IF(C17="","",setValueToTime(C17))</f>
        <v>1h 15 min</v>
      </c>
      <c r="E17" s="46" t="s">
        <v>124</v>
      </c>
      <c r="F17" s="250"/>
      <c r="G17" s="251"/>
      <c r="H17" s="152"/>
    </row>
    <row r="18" spans="2:8" s="43" customFormat="1" x14ac:dyDescent="0.3">
      <c r="B18" s="44"/>
      <c r="C18" s="45"/>
      <c r="D18" s="126" t="str">
        <f t="shared" si="1"/>
        <v/>
      </c>
      <c r="E18" s="46"/>
      <c r="F18" s="250"/>
      <c r="G18" s="251"/>
      <c r="H18" s="152"/>
    </row>
    <row r="19" spans="2:8" s="43" customFormat="1" x14ac:dyDescent="0.3">
      <c r="B19" s="44"/>
      <c r="C19" s="45"/>
      <c r="D19" s="126" t="str">
        <f t="shared" si="1"/>
        <v/>
      </c>
      <c r="E19" s="46"/>
      <c r="F19" s="250"/>
      <c r="G19" s="251"/>
      <c r="H19" s="152"/>
    </row>
    <row r="20" spans="2:8" s="43" customFormat="1" x14ac:dyDescent="0.3">
      <c r="B20" s="44"/>
      <c r="C20" s="45"/>
      <c r="D20" s="127" t="str">
        <f t="shared" si="1"/>
        <v/>
      </c>
      <c r="E20" s="46"/>
      <c r="F20" s="250"/>
      <c r="G20" s="251"/>
      <c r="H20" s="152"/>
    </row>
    <row r="21" spans="2:8" s="43" customFormat="1" x14ac:dyDescent="0.3">
      <c r="B21" s="44"/>
      <c r="C21" s="45"/>
      <c r="D21" s="127" t="str">
        <f t="shared" si="1"/>
        <v/>
      </c>
      <c r="E21" s="46"/>
      <c r="F21" s="250"/>
      <c r="G21" s="251"/>
      <c r="H21" s="152"/>
    </row>
    <row r="22" spans="2:8" s="43" customFormat="1" x14ac:dyDescent="0.3">
      <c r="B22" s="44"/>
      <c r="C22" s="45"/>
      <c r="D22" s="127" t="str">
        <f t="shared" si="1"/>
        <v/>
      </c>
      <c r="E22" s="46"/>
      <c r="F22" s="250"/>
      <c r="G22" s="251"/>
      <c r="H22" s="152"/>
    </row>
    <row r="23" spans="2:8" s="43" customFormat="1" ht="15" thickBot="1" x14ac:dyDescent="0.35">
      <c r="B23" s="44" t="s">
        <v>53</v>
      </c>
      <c r="C23" s="45">
        <v>1</v>
      </c>
      <c r="D23" s="128" t="str">
        <f t="shared" si="1"/>
        <v xml:space="preserve"> 5 min</v>
      </c>
      <c r="E23" s="202" t="s">
        <v>86</v>
      </c>
      <c r="F23" s="254"/>
      <c r="G23" s="255"/>
      <c r="H23" s="152"/>
    </row>
    <row r="24" spans="2:8" s="43" customFormat="1" ht="15" thickBot="1" x14ac:dyDescent="0.35">
      <c r="B24" s="86" t="s">
        <v>64</v>
      </c>
      <c r="C24" s="67">
        <f>SUM(C16:C23)</f>
        <v>38</v>
      </c>
      <c r="D24" s="86" t="str">
        <f xml:space="preserve"> setValueToTime(C24)</f>
        <v>3h 10 min</v>
      </c>
      <c r="E24" s="95"/>
      <c r="F24" s="252"/>
      <c r="G24" s="253"/>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45805</v>
      </c>
      <c r="G26" s="101" t="s">
        <v>78</v>
      </c>
      <c r="H26" s="151"/>
    </row>
    <row r="27" spans="2:8" s="39" customFormat="1" ht="30" customHeight="1" thickBot="1" x14ac:dyDescent="0.3">
      <c r="B27" s="63" t="s">
        <v>59</v>
      </c>
      <c r="C27" s="123" t="s">
        <v>60</v>
      </c>
      <c r="D27" s="124"/>
      <c r="E27" s="63" t="s">
        <v>61</v>
      </c>
      <c r="F27" s="246" t="s">
        <v>62</v>
      </c>
      <c r="G27" s="247"/>
      <c r="H27" s="151"/>
    </row>
    <row r="28" spans="2:8" s="43" customFormat="1" x14ac:dyDescent="0.3">
      <c r="B28" s="40" t="s">
        <v>54</v>
      </c>
      <c r="C28" s="41">
        <v>30</v>
      </c>
      <c r="D28" s="125" t="str">
        <f xml:space="preserve"> IF(C28="","",setValueToTime(C28))</f>
        <v>2h 30 min</v>
      </c>
      <c r="E28" s="42" t="s">
        <v>139</v>
      </c>
      <c r="F28" s="248"/>
      <c r="G28" s="249"/>
      <c r="H28" s="152"/>
    </row>
    <row r="29" spans="2:8" s="43" customFormat="1" x14ac:dyDescent="0.3">
      <c r="B29" s="44" t="s">
        <v>54</v>
      </c>
      <c r="C29" s="45">
        <v>17</v>
      </c>
      <c r="D29" s="126" t="str">
        <f t="shared" ref="D29:D35" si="2" xml:space="preserve"> IF(C29="","",setValueToTime(C29))</f>
        <v>1h 25 min</v>
      </c>
      <c r="E29" s="201" t="s">
        <v>154</v>
      </c>
      <c r="F29" s="250"/>
      <c r="G29" s="251"/>
      <c r="H29" s="152"/>
    </row>
    <row r="30" spans="2:8" s="43" customFormat="1" x14ac:dyDescent="0.3">
      <c r="B30" s="44"/>
      <c r="C30" s="45"/>
      <c r="D30" s="126" t="str">
        <f t="shared" si="2"/>
        <v/>
      </c>
      <c r="E30" s="46"/>
      <c r="F30" s="250"/>
      <c r="G30" s="251"/>
      <c r="H30" s="152"/>
    </row>
    <row r="31" spans="2:8" s="43" customFormat="1" x14ac:dyDescent="0.3">
      <c r="B31" s="44"/>
      <c r="C31" s="45"/>
      <c r="D31" s="126" t="str">
        <f t="shared" si="2"/>
        <v/>
      </c>
      <c r="E31" s="46"/>
      <c r="F31" s="250"/>
      <c r="G31" s="251"/>
      <c r="H31" s="152"/>
    </row>
    <row r="32" spans="2:8" s="43" customFormat="1" x14ac:dyDescent="0.3">
      <c r="B32" s="44"/>
      <c r="C32" s="45"/>
      <c r="D32" s="127" t="str">
        <f t="shared" si="2"/>
        <v/>
      </c>
      <c r="E32" s="46"/>
      <c r="F32" s="250"/>
      <c r="G32" s="251"/>
      <c r="H32" s="152"/>
    </row>
    <row r="33" spans="2:8" s="43" customFormat="1" x14ac:dyDescent="0.3">
      <c r="B33" s="44"/>
      <c r="C33" s="45"/>
      <c r="D33" s="127" t="str">
        <f t="shared" si="2"/>
        <v/>
      </c>
      <c r="E33" s="46"/>
      <c r="F33" s="250"/>
      <c r="G33" s="251"/>
      <c r="H33" s="152"/>
    </row>
    <row r="34" spans="2:8" s="43" customFormat="1" x14ac:dyDescent="0.3">
      <c r="B34" s="44"/>
      <c r="C34" s="45"/>
      <c r="D34" s="127" t="str">
        <f t="shared" si="2"/>
        <v/>
      </c>
      <c r="E34" s="46"/>
      <c r="F34" s="250"/>
      <c r="G34" s="251"/>
      <c r="H34" s="152"/>
    </row>
    <row r="35" spans="2:8" s="43" customFormat="1" ht="15" thickBot="1" x14ac:dyDescent="0.35">
      <c r="B35" s="44" t="s">
        <v>53</v>
      </c>
      <c r="C35" s="45">
        <v>1</v>
      </c>
      <c r="D35" s="128" t="str">
        <f t="shared" si="2"/>
        <v xml:space="preserve"> 5 min</v>
      </c>
      <c r="E35" s="48" t="s">
        <v>86</v>
      </c>
      <c r="F35" s="254"/>
      <c r="G35" s="255"/>
      <c r="H35" s="152"/>
    </row>
    <row r="36" spans="2:8" s="43" customFormat="1" ht="15" thickBot="1" x14ac:dyDescent="0.35">
      <c r="B36" s="86" t="s">
        <v>64</v>
      </c>
      <c r="C36" s="67">
        <f>SUM(C28:C35)</f>
        <v>48</v>
      </c>
      <c r="D36" s="86" t="str">
        <f xml:space="preserve"> setValueToTime(C36)</f>
        <v>4h</v>
      </c>
      <c r="E36" s="95"/>
      <c r="F36" s="252"/>
      <c r="G36" s="253"/>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45803</v>
      </c>
      <c r="G38" s="101" t="s">
        <v>78</v>
      </c>
      <c r="H38" s="151"/>
    </row>
    <row r="39" spans="2:8" s="39" customFormat="1" ht="30" customHeight="1" thickBot="1" x14ac:dyDescent="0.3">
      <c r="B39" s="63" t="s">
        <v>59</v>
      </c>
      <c r="C39" s="123" t="s">
        <v>60</v>
      </c>
      <c r="D39" s="124"/>
      <c r="E39" s="63" t="s">
        <v>61</v>
      </c>
      <c r="F39" s="246" t="s">
        <v>62</v>
      </c>
      <c r="G39" s="247"/>
      <c r="H39" s="151"/>
    </row>
    <row r="40" spans="2:8" s="43" customFormat="1" x14ac:dyDescent="0.3">
      <c r="B40" s="40" t="s">
        <v>54</v>
      </c>
      <c r="C40" s="41">
        <v>37</v>
      </c>
      <c r="D40" s="125" t="str">
        <f xml:space="preserve"> IF(C40="","",setValueToTime(C40))</f>
        <v>3h 5 min</v>
      </c>
      <c r="E40" s="200" t="s">
        <v>153</v>
      </c>
      <c r="F40" s="248"/>
      <c r="G40" s="249"/>
      <c r="H40" s="152"/>
    </row>
    <row r="41" spans="2:8" s="43" customFormat="1" x14ac:dyDescent="0.3">
      <c r="B41" s="44"/>
      <c r="C41" s="45"/>
      <c r="D41" s="126" t="str">
        <f t="shared" ref="D41:D47" si="3" xml:space="preserve"> IF(C41="","",setValueToTime(C41))</f>
        <v/>
      </c>
      <c r="E41" s="46"/>
      <c r="F41" s="250"/>
      <c r="G41" s="251"/>
      <c r="H41" s="152"/>
    </row>
    <row r="42" spans="2:8" s="43" customFormat="1" x14ac:dyDescent="0.3">
      <c r="B42" s="44"/>
      <c r="C42" s="45"/>
      <c r="D42" s="126" t="str">
        <f t="shared" si="3"/>
        <v/>
      </c>
      <c r="E42" s="46"/>
      <c r="F42" s="250"/>
      <c r="G42" s="251"/>
      <c r="H42" s="152"/>
    </row>
    <row r="43" spans="2:8" s="43" customFormat="1" x14ac:dyDescent="0.3">
      <c r="B43" s="44"/>
      <c r="C43" s="45"/>
      <c r="D43" s="126" t="str">
        <f t="shared" si="3"/>
        <v/>
      </c>
      <c r="E43" s="46"/>
      <c r="F43" s="250"/>
      <c r="G43" s="251"/>
      <c r="H43" s="152"/>
    </row>
    <row r="44" spans="2:8" s="43" customFormat="1" x14ac:dyDescent="0.3">
      <c r="B44" s="44"/>
      <c r="C44" s="45"/>
      <c r="D44" s="127" t="str">
        <f t="shared" si="3"/>
        <v/>
      </c>
      <c r="E44" s="46"/>
      <c r="F44" s="250"/>
      <c r="G44" s="251"/>
      <c r="H44" s="152"/>
    </row>
    <row r="45" spans="2:8" s="43" customFormat="1" x14ac:dyDescent="0.3">
      <c r="B45" s="44"/>
      <c r="C45" s="45"/>
      <c r="D45" s="127" t="str">
        <f t="shared" si="3"/>
        <v/>
      </c>
      <c r="E45" s="46"/>
      <c r="F45" s="250"/>
      <c r="G45" s="251"/>
      <c r="H45" s="152"/>
    </row>
    <row r="46" spans="2:8" s="43" customFormat="1" x14ac:dyDescent="0.3">
      <c r="B46" s="44"/>
      <c r="C46" s="45"/>
      <c r="D46" s="127" t="str">
        <f t="shared" si="3"/>
        <v/>
      </c>
      <c r="E46" s="46"/>
      <c r="F46" s="250"/>
      <c r="G46" s="251"/>
      <c r="H46" s="152"/>
    </row>
    <row r="47" spans="2:8" s="43" customFormat="1" ht="15" thickBot="1" x14ac:dyDescent="0.35">
      <c r="B47" s="44" t="s">
        <v>53</v>
      </c>
      <c r="C47" s="45">
        <v>1</v>
      </c>
      <c r="D47" s="128" t="str">
        <f t="shared" si="3"/>
        <v xml:space="preserve"> 5 min</v>
      </c>
      <c r="E47" s="48" t="s">
        <v>86</v>
      </c>
      <c r="F47" s="254"/>
      <c r="G47" s="255"/>
      <c r="H47" s="152"/>
    </row>
    <row r="48" spans="2:8" s="43" customFormat="1" ht="15" thickBot="1" x14ac:dyDescent="0.35">
      <c r="B48" s="86" t="s">
        <v>64</v>
      </c>
      <c r="C48" s="67">
        <f>SUM(C40:C47)</f>
        <v>38</v>
      </c>
      <c r="D48" s="86" t="str">
        <f xml:space="preserve"> setValueToTime(C48)</f>
        <v>3h 10 min</v>
      </c>
      <c r="E48" s="95"/>
      <c r="F48" s="252"/>
      <c r="G48" s="253"/>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45800</v>
      </c>
      <c r="G50" s="101" t="s">
        <v>79</v>
      </c>
      <c r="H50" s="151"/>
    </row>
    <row r="51" spans="2:8" s="39" customFormat="1" ht="30" customHeight="1" thickBot="1" x14ac:dyDescent="0.3">
      <c r="B51" s="63" t="s">
        <v>59</v>
      </c>
      <c r="C51" s="123" t="s">
        <v>60</v>
      </c>
      <c r="D51" s="124"/>
      <c r="E51" s="63" t="s">
        <v>61</v>
      </c>
      <c r="F51" s="246" t="s">
        <v>62</v>
      </c>
      <c r="G51" s="247"/>
      <c r="H51" s="151"/>
    </row>
    <row r="52" spans="2:8" s="43" customFormat="1" ht="27" x14ac:dyDescent="0.3">
      <c r="B52" s="40" t="s">
        <v>82</v>
      </c>
      <c r="C52" s="41">
        <v>10</v>
      </c>
      <c r="D52" s="125" t="str">
        <f xml:space="preserve"> IF(C52="","",setValueToTime(C52))</f>
        <v xml:space="preserve"> 50 min</v>
      </c>
      <c r="E52" s="42" t="s">
        <v>146</v>
      </c>
      <c r="F52" s="248"/>
      <c r="G52" s="249"/>
      <c r="H52" s="152"/>
    </row>
    <row r="53" spans="2:8" s="43" customFormat="1" x14ac:dyDescent="0.3">
      <c r="B53" s="44" t="s">
        <v>54</v>
      </c>
      <c r="C53" s="45">
        <v>27</v>
      </c>
      <c r="D53" s="126" t="str">
        <f t="shared" ref="D53:D59" si="4" xml:space="preserve"> IF(C53="","",setValueToTime(C53))</f>
        <v>2h 15 min</v>
      </c>
      <c r="E53" s="201" t="s">
        <v>153</v>
      </c>
      <c r="F53" s="250"/>
      <c r="G53" s="251"/>
      <c r="H53" s="152"/>
    </row>
    <row r="54" spans="2:8" s="43" customFormat="1" x14ac:dyDescent="0.3">
      <c r="B54" s="44"/>
      <c r="C54" s="45"/>
      <c r="D54" s="126" t="str">
        <f t="shared" si="4"/>
        <v/>
      </c>
      <c r="E54" s="46"/>
      <c r="F54" s="250"/>
      <c r="G54" s="251"/>
      <c r="H54" s="152"/>
    </row>
    <row r="55" spans="2:8" s="43" customFormat="1" x14ac:dyDescent="0.3">
      <c r="B55" s="44"/>
      <c r="C55" s="45"/>
      <c r="D55" s="126" t="str">
        <f t="shared" si="4"/>
        <v/>
      </c>
      <c r="E55" s="46"/>
      <c r="F55" s="250"/>
      <c r="G55" s="251"/>
      <c r="H55" s="152"/>
    </row>
    <row r="56" spans="2:8" s="43" customFormat="1" x14ac:dyDescent="0.3">
      <c r="B56" s="44"/>
      <c r="C56" s="45"/>
      <c r="D56" s="127" t="str">
        <f t="shared" si="4"/>
        <v/>
      </c>
      <c r="E56" s="46"/>
      <c r="F56" s="250"/>
      <c r="G56" s="251"/>
      <c r="H56" s="152"/>
    </row>
    <row r="57" spans="2:8" s="43" customFormat="1" x14ac:dyDescent="0.3">
      <c r="B57" s="44"/>
      <c r="C57" s="45"/>
      <c r="D57" s="127" t="str">
        <f t="shared" si="4"/>
        <v/>
      </c>
      <c r="E57" s="46"/>
      <c r="F57" s="250"/>
      <c r="G57" s="251"/>
      <c r="H57" s="152"/>
    </row>
    <row r="58" spans="2:8" s="43" customFormat="1" x14ac:dyDescent="0.3">
      <c r="B58" s="44"/>
      <c r="C58" s="45"/>
      <c r="D58" s="127" t="str">
        <f t="shared" si="4"/>
        <v/>
      </c>
      <c r="E58" s="46"/>
      <c r="F58" s="250"/>
      <c r="G58" s="251"/>
      <c r="H58" s="152"/>
    </row>
    <row r="59" spans="2:8" s="43" customFormat="1" ht="15" thickBot="1" x14ac:dyDescent="0.35">
      <c r="B59" s="44" t="s">
        <v>53</v>
      </c>
      <c r="C59" s="45">
        <v>1</v>
      </c>
      <c r="D59" s="128" t="str">
        <f t="shared" si="4"/>
        <v xml:space="preserve"> 5 min</v>
      </c>
      <c r="E59" s="48" t="s">
        <v>86</v>
      </c>
      <c r="F59" s="254"/>
      <c r="G59" s="255"/>
      <c r="H59" s="152"/>
    </row>
    <row r="60" spans="2:8" s="43" customFormat="1" ht="15" thickBot="1" x14ac:dyDescent="0.35">
      <c r="B60" s="86" t="s">
        <v>64</v>
      </c>
      <c r="C60" s="67">
        <f>SUM(C52:C59)</f>
        <v>38</v>
      </c>
      <c r="D60" s="86" t="str">
        <f xml:space="preserve"> setValueToTime(C60)</f>
        <v>3h 10 min</v>
      </c>
      <c r="E60" s="95"/>
      <c r="F60" s="252"/>
      <c r="G60" s="253"/>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45800</v>
      </c>
      <c r="G62" s="101" t="s">
        <v>78</v>
      </c>
      <c r="H62" s="151"/>
    </row>
    <row r="63" spans="2:8" s="39" customFormat="1" ht="30" customHeight="1" thickBot="1" x14ac:dyDescent="0.3">
      <c r="B63" s="63" t="s">
        <v>59</v>
      </c>
      <c r="C63" s="123" t="s">
        <v>60</v>
      </c>
      <c r="D63" s="124"/>
      <c r="E63" s="63" t="s">
        <v>61</v>
      </c>
      <c r="F63" s="246" t="s">
        <v>62</v>
      </c>
      <c r="G63" s="247"/>
      <c r="H63" s="151"/>
    </row>
    <row r="64" spans="2:8" s="43" customFormat="1" x14ac:dyDescent="0.3">
      <c r="B64" s="40" t="s">
        <v>102</v>
      </c>
      <c r="C64" s="41">
        <v>40</v>
      </c>
      <c r="D64" s="125" t="str">
        <f xml:space="preserve"> IF(C64="","",setValueToTime(C64))</f>
        <v>3h 20 min</v>
      </c>
      <c r="E64" s="42" t="s">
        <v>138</v>
      </c>
      <c r="F64" s="248"/>
      <c r="G64" s="249"/>
      <c r="H64" s="152"/>
    </row>
    <row r="65" spans="2:8" s="43" customFormat="1" x14ac:dyDescent="0.3">
      <c r="B65" s="44" t="s">
        <v>54</v>
      </c>
      <c r="C65" s="45">
        <v>7</v>
      </c>
      <c r="D65" s="126" t="str">
        <f t="shared" ref="D65:D71" si="5" xml:space="preserve"> IF(C65="","",setValueToTime(C65))</f>
        <v xml:space="preserve"> 35 min</v>
      </c>
      <c r="E65" s="46" t="s">
        <v>135</v>
      </c>
      <c r="F65" s="250"/>
      <c r="G65" s="251"/>
      <c r="H65" s="152"/>
    </row>
    <row r="66" spans="2:8" s="43" customFormat="1" x14ac:dyDescent="0.3">
      <c r="B66" s="44"/>
      <c r="C66" s="45"/>
      <c r="D66" s="126" t="str">
        <f t="shared" si="5"/>
        <v/>
      </c>
      <c r="E66" s="46"/>
      <c r="F66" s="250"/>
      <c r="G66" s="251"/>
      <c r="H66" s="152"/>
    </row>
    <row r="67" spans="2:8" s="43" customFormat="1" x14ac:dyDescent="0.3">
      <c r="B67" s="44"/>
      <c r="C67" s="45"/>
      <c r="D67" s="126" t="str">
        <f t="shared" si="5"/>
        <v/>
      </c>
      <c r="E67" s="46"/>
      <c r="F67" s="250"/>
      <c r="G67" s="251"/>
      <c r="H67" s="152"/>
    </row>
    <row r="68" spans="2:8" s="43" customFormat="1" x14ac:dyDescent="0.3">
      <c r="B68" s="44"/>
      <c r="C68" s="45"/>
      <c r="D68" s="127" t="str">
        <f t="shared" si="5"/>
        <v/>
      </c>
      <c r="E68" s="46"/>
      <c r="F68" s="250"/>
      <c r="G68" s="251"/>
      <c r="H68" s="152"/>
    </row>
    <row r="69" spans="2:8" s="43" customFormat="1" x14ac:dyDescent="0.3">
      <c r="B69" s="44"/>
      <c r="C69" s="45"/>
      <c r="D69" s="127" t="str">
        <f t="shared" si="5"/>
        <v/>
      </c>
      <c r="E69" s="46"/>
      <c r="F69" s="250"/>
      <c r="G69" s="251"/>
      <c r="H69" s="152"/>
    </row>
    <row r="70" spans="2:8" s="43" customFormat="1" x14ac:dyDescent="0.3">
      <c r="B70" s="44"/>
      <c r="C70" s="45"/>
      <c r="D70" s="127" t="str">
        <f t="shared" si="5"/>
        <v/>
      </c>
      <c r="E70" s="46"/>
      <c r="F70" s="250"/>
      <c r="G70" s="251"/>
      <c r="H70" s="152"/>
    </row>
    <row r="71" spans="2:8" s="43" customFormat="1" ht="15" thickBot="1" x14ac:dyDescent="0.35">
      <c r="B71" s="44" t="s">
        <v>53</v>
      </c>
      <c r="C71" s="45">
        <v>1</v>
      </c>
      <c r="D71" s="128" t="str">
        <f t="shared" si="5"/>
        <v xml:space="preserve"> 5 min</v>
      </c>
      <c r="E71" s="48" t="s">
        <v>86</v>
      </c>
      <c r="F71" s="254"/>
      <c r="G71" s="255"/>
      <c r="H71" s="152"/>
    </row>
    <row r="72" spans="2:8" s="43" customFormat="1" ht="15" thickBot="1" x14ac:dyDescent="0.35">
      <c r="B72" s="86" t="s">
        <v>64</v>
      </c>
      <c r="C72" s="67">
        <f>SUM(C64:C71)</f>
        <v>48</v>
      </c>
      <c r="D72" s="86" t="str">
        <f xml:space="preserve"> setValueToTime(C72)</f>
        <v>4h</v>
      </c>
      <c r="E72" s="95"/>
      <c r="F72" s="252"/>
      <c r="G72" s="253"/>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45799</v>
      </c>
      <c r="G74" s="101" t="s">
        <v>79</v>
      </c>
      <c r="H74" s="151"/>
    </row>
    <row r="75" spans="2:8" s="39" customFormat="1" ht="30" customHeight="1" thickBot="1" x14ac:dyDescent="0.3">
      <c r="B75" s="63" t="s">
        <v>59</v>
      </c>
      <c r="C75" s="123" t="s">
        <v>60</v>
      </c>
      <c r="D75" s="124"/>
      <c r="E75" s="63" t="s">
        <v>61</v>
      </c>
      <c r="F75" s="246" t="s">
        <v>62</v>
      </c>
      <c r="G75" s="247"/>
      <c r="H75" s="151"/>
    </row>
    <row r="76" spans="2:8" s="43" customFormat="1" x14ac:dyDescent="0.3">
      <c r="B76" s="44" t="s">
        <v>102</v>
      </c>
      <c r="C76" s="41">
        <v>12</v>
      </c>
      <c r="D76" s="125" t="str">
        <f xml:space="preserve"> IF(C76="","",setValueToTime(C76))</f>
        <v>1h</v>
      </c>
      <c r="E76" s="42" t="s">
        <v>137</v>
      </c>
      <c r="F76" s="248"/>
      <c r="G76" s="249"/>
      <c r="H76" s="152"/>
    </row>
    <row r="77" spans="2:8" s="43" customFormat="1" x14ac:dyDescent="0.3">
      <c r="B77" s="44" t="s">
        <v>54</v>
      </c>
      <c r="C77" s="45">
        <v>25</v>
      </c>
      <c r="D77" s="126" t="str">
        <f xml:space="preserve"> IF(C77="","",setValueToTime(C77))</f>
        <v>2h 5 min</v>
      </c>
      <c r="E77" s="201" t="s">
        <v>152</v>
      </c>
      <c r="F77" s="250"/>
      <c r="G77" s="251"/>
      <c r="H77" s="152"/>
    </row>
    <row r="78" spans="2:8" s="43" customFormat="1" x14ac:dyDescent="0.3">
      <c r="B78" s="44"/>
      <c r="C78" s="45"/>
      <c r="D78" s="126" t="str">
        <f t="shared" ref="D78:D83" si="6" xml:space="preserve"> IF(C78="","",setValueToTime(C78))</f>
        <v/>
      </c>
      <c r="E78" s="46"/>
      <c r="F78" s="250"/>
      <c r="G78" s="251"/>
      <c r="H78" s="152"/>
    </row>
    <row r="79" spans="2:8" s="43" customFormat="1" x14ac:dyDescent="0.3">
      <c r="B79" s="44"/>
      <c r="C79" s="45"/>
      <c r="D79" s="126" t="str">
        <f t="shared" si="6"/>
        <v/>
      </c>
      <c r="E79" s="46"/>
      <c r="F79" s="250"/>
      <c r="G79" s="251"/>
      <c r="H79" s="152"/>
    </row>
    <row r="80" spans="2:8" s="43" customFormat="1" x14ac:dyDescent="0.3">
      <c r="B80" s="44"/>
      <c r="C80" s="45"/>
      <c r="D80" s="127" t="str">
        <f t="shared" si="6"/>
        <v/>
      </c>
      <c r="E80" s="46"/>
      <c r="F80" s="250"/>
      <c r="G80" s="251"/>
      <c r="H80" s="152"/>
    </row>
    <row r="81" spans="2:8" s="43" customFormat="1" x14ac:dyDescent="0.3">
      <c r="B81" s="44"/>
      <c r="C81" s="45"/>
      <c r="D81" s="127" t="str">
        <f t="shared" si="6"/>
        <v/>
      </c>
      <c r="E81" s="46"/>
      <c r="F81" s="250"/>
      <c r="G81" s="251"/>
      <c r="H81" s="152"/>
    </row>
    <row r="82" spans="2:8" s="43" customFormat="1" x14ac:dyDescent="0.3">
      <c r="B82" s="44"/>
      <c r="C82" s="45"/>
      <c r="D82" s="127" t="str">
        <f t="shared" si="6"/>
        <v/>
      </c>
      <c r="E82" s="46"/>
      <c r="F82" s="250"/>
      <c r="G82" s="251"/>
      <c r="H82" s="152"/>
    </row>
    <row r="83" spans="2:8" s="43" customFormat="1" ht="15" thickBot="1" x14ac:dyDescent="0.35">
      <c r="B83" s="44" t="s">
        <v>53</v>
      </c>
      <c r="C83" s="45">
        <v>1</v>
      </c>
      <c r="D83" s="128" t="str">
        <f t="shared" si="6"/>
        <v xml:space="preserve"> 5 min</v>
      </c>
      <c r="E83" s="48" t="s">
        <v>86</v>
      </c>
      <c r="F83" s="254"/>
      <c r="G83" s="255"/>
      <c r="H83" s="152"/>
    </row>
    <row r="84" spans="2:8" s="43" customFormat="1" ht="15" thickBot="1" x14ac:dyDescent="0.35">
      <c r="B84" s="86" t="s">
        <v>64</v>
      </c>
      <c r="C84" s="67">
        <f>SUM(C76:C83)</f>
        <v>38</v>
      </c>
      <c r="D84" s="86" t="str">
        <f xml:space="preserve"> setValueToTime(C84)</f>
        <v>3h 10 min</v>
      </c>
      <c r="E84" s="95"/>
      <c r="F84" s="252"/>
      <c r="G84" s="253"/>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45798</v>
      </c>
      <c r="G86" s="101" t="s">
        <v>79</v>
      </c>
      <c r="H86" s="151"/>
    </row>
    <row r="87" spans="2:8" s="39" customFormat="1" ht="30" customHeight="1" thickBot="1" x14ac:dyDescent="0.3">
      <c r="B87" s="63" t="s">
        <v>59</v>
      </c>
      <c r="C87" s="123" t="s">
        <v>60</v>
      </c>
      <c r="D87" s="124"/>
      <c r="E87" s="63" t="s">
        <v>61</v>
      </c>
      <c r="F87" s="246" t="s">
        <v>62</v>
      </c>
      <c r="G87" s="247"/>
      <c r="H87" s="151"/>
    </row>
    <row r="88" spans="2:8" s="43" customFormat="1" x14ac:dyDescent="0.3">
      <c r="B88" s="40" t="s">
        <v>102</v>
      </c>
      <c r="C88" s="41">
        <v>26</v>
      </c>
      <c r="D88" s="125" t="str">
        <f xml:space="preserve"> IF(C88="","",setValueToTime(C88))</f>
        <v>2h 10 min</v>
      </c>
      <c r="E88" s="42" t="s">
        <v>136</v>
      </c>
      <c r="F88" s="248"/>
      <c r="G88" s="249"/>
      <c r="H88" s="152"/>
    </row>
    <row r="89" spans="2:8" s="43" customFormat="1" x14ac:dyDescent="0.3">
      <c r="B89" s="44" t="s">
        <v>54</v>
      </c>
      <c r="C89" s="45">
        <v>11</v>
      </c>
      <c r="D89" s="126" t="str">
        <f t="shared" ref="D89:D95" si="7" xml:space="preserve"> IF(C89="","",setValueToTime(C89))</f>
        <v xml:space="preserve"> 55 min</v>
      </c>
      <c r="E89" s="201" t="s">
        <v>152</v>
      </c>
      <c r="F89" s="250"/>
      <c r="G89" s="251"/>
      <c r="H89" s="152"/>
    </row>
    <row r="90" spans="2:8" s="43" customFormat="1" x14ac:dyDescent="0.3">
      <c r="B90" s="44"/>
      <c r="C90" s="45"/>
      <c r="D90" s="126" t="str">
        <f t="shared" si="7"/>
        <v/>
      </c>
      <c r="E90" s="46"/>
      <c r="F90" s="250"/>
      <c r="G90" s="251"/>
      <c r="H90" s="152"/>
    </row>
    <row r="91" spans="2:8" s="43" customFormat="1" x14ac:dyDescent="0.3">
      <c r="B91" s="44"/>
      <c r="C91" s="45"/>
      <c r="D91" s="126" t="str">
        <f t="shared" si="7"/>
        <v/>
      </c>
      <c r="E91" s="46"/>
      <c r="F91" s="250"/>
      <c r="G91" s="251"/>
      <c r="H91" s="152"/>
    </row>
    <row r="92" spans="2:8" s="43" customFormat="1" x14ac:dyDescent="0.3">
      <c r="B92" s="44"/>
      <c r="C92" s="45"/>
      <c r="D92" s="127" t="str">
        <f t="shared" si="7"/>
        <v/>
      </c>
      <c r="E92" s="46"/>
      <c r="F92" s="250"/>
      <c r="G92" s="251"/>
      <c r="H92" s="152"/>
    </row>
    <row r="93" spans="2:8" s="43" customFormat="1" x14ac:dyDescent="0.3">
      <c r="B93" s="44"/>
      <c r="C93" s="45"/>
      <c r="D93" s="127" t="str">
        <f t="shared" si="7"/>
        <v/>
      </c>
      <c r="E93" s="46"/>
      <c r="F93" s="250"/>
      <c r="G93" s="251"/>
      <c r="H93" s="152"/>
    </row>
    <row r="94" spans="2:8" s="43" customFormat="1" x14ac:dyDescent="0.3">
      <c r="B94" s="44"/>
      <c r="C94" s="45"/>
      <c r="D94" s="127" t="str">
        <f t="shared" si="7"/>
        <v/>
      </c>
      <c r="E94" s="46"/>
      <c r="F94" s="250"/>
      <c r="G94" s="251"/>
      <c r="H94" s="152"/>
    </row>
    <row r="95" spans="2:8" s="43" customFormat="1" ht="15" thickBot="1" x14ac:dyDescent="0.35">
      <c r="B95" s="44" t="s">
        <v>53</v>
      </c>
      <c r="C95" s="45">
        <v>1</v>
      </c>
      <c r="D95" s="128" t="str">
        <f t="shared" si="7"/>
        <v xml:space="preserve"> 5 min</v>
      </c>
      <c r="E95" s="48" t="s">
        <v>86</v>
      </c>
      <c r="F95" s="254"/>
      <c r="G95" s="255"/>
      <c r="H95" s="152"/>
    </row>
    <row r="96" spans="2:8" s="43" customFormat="1" ht="15" thickBot="1" x14ac:dyDescent="0.35">
      <c r="B96" s="86" t="s">
        <v>64</v>
      </c>
      <c r="C96" s="67">
        <f>SUM(C88:C95)</f>
        <v>38</v>
      </c>
      <c r="D96" s="86" t="str">
        <f xml:space="preserve"> setValueToTime(C96)</f>
        <v>3h 10 min</v>
      </c>
      <c r="E96" s="95"/>
      <c r="F96" s="252"/>
      <c r="G96" s="253"/>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45798</v>
      </c>
      <c r="G98" s="101" t="s">
        <v>78</v>
      </c>
      <c r="H98" s="151"/>
    </row>
    <row r="99" spans="2:8" s="39" customFormat="1" ht="30" customHeight="1" thickBot="1" x14ac:dyDescent="0.3">
      <c r="B99" s="63" t="s">
        <v>59</v>
      </c>
      <c r="C99" s="123" t="s">
        <v>60</v>
      </c>
      <c r="D99" s="124"/>
      <c r="E99" s="63" t="s">
        <v>61</v>
      </c>
      <c r="F99" s="246" t="s">
        <v>62</v>
      </c>
      <c r="G99" s="247"/>
      <c r="H99" s="151"/>
    </row>
    <row r="100" spans="2:8" s="43" customFormat="1" ht="27" x14ac:dyDescent="0.3">
      <c r="B100" s="40" t="s">
        <v>76</v>
      </c>
      <c r="C100" s="41">
        <v>40</v>
      </c>
      <c r="D100" s="125" t="str">
        <f xml:space="preserve"> IF(C100="","",setValueToTime(C100))</f>
        <v>3h 20 min</v>
      </c>
      <c r="E100" s="42" t="s">
        <v>134</v>
      </c>
      <c r="F100" s="248"/>
      <c r="G100" s="249"/>
      <c r="H100" s="152"/>
    </row>
    <row r="101" spans="2:8" s="43" customFormat="1" x14ac:dyDescent="0.3">
      <c r="B101" s="44" t="s">
        <v>54</v>
      </c>
      <c r="C101" s="45">
        <v>7</v>
      </c>
      <c r="D101" s="126" t="str">
        <f t="shared" ref="D101:D107" si="8" xml:space="preserve"> IF(C101="","",setValueToTime(C101))</f>
        <v xml:space="preserve"> 35 min</v>
      </c>
      <c r="E101" s="201" t="s">
        <v>152</v>
      </c>
      <c r="F101" s="250"/>
      <c r="G101" s="251"/>
      <c r="H101" s="152"/>
    </row>
    <row r="102" spans="2:8" s="43" customFormat="1" x14ac:dyDescent="0.3">
      <c r="B102" s="44"/>
      <c r="C102" s="45"/>
      <c r="D102" s="126" t="str">
        <f t="shared" si="8"/>
        <v/>
      </c>
      <c r="E102" s="46"/>
      <c r="F102" s="250"/>
      <c r="G102" s="251"/>
      <c r="H102" s="152"/>
    </row>
    <row r="103" spans="2:8" s="43" customFormat="1" x14ac:dyDescent="0.3">
      <c r="B103" s="44"/>
      <c r="C103" s="45"/>
      <c r="D103" s="126" t="str">
        <f t="shared" si="8"/>
        <v/>
      </c>
      <c r="E103" s="46"/>
      <c r="F103" s="250"/>
      <c r="G103" s="251"/>
      <c r="H103" s="152"/>
    </row>
    <row r="104" spans="2:8" s="43" customFormat="1" x14ac:dyDescent="0.3">
      <c r="B104" s="44"/>
      <c r="C104" s="45"/>
      <c r="D104" s="127" t="str">
        <f t="shared" si="8"/>
        <v/>
      </c>
      <c r="E104" s="46"/>
      <c r="F104" s="250"/>
      <c r="G104" s="251"/>
      <c r="H104" s="152"/>
    </row>
    <row r="105" spans="2:8" s="43" customFormat="1" x14ac:dyDescent="0.3">
      <c r="B105" s="44"/>
      <c r="C105" s="45"/>
      <c r="D105" s="127" t="str">
        <f t="shared" si="8"/>
        <v/>
      </c>
      <c r="E105" s="46"/>
      <c r="F105" s="250"/>
      <c r="G105" s="251"/>
      <c r="H105" s="152"/>
    </row>
    <row r="106" spans="2:8" s="43" customFormat="1" x14ac:dyDescent="0.3">
      <c r="B106" s="44"/>
      <c r="C106" s="45"/>
      <c r="D106" s="127" t="str">
        <f t="shared" si="8"/>
        <v/>
      </c>
      <c r="E106" s="46"/>
      <c r="F106" s="250"/>
      <c r="G106" s="251"/>
      <c r="H106" s="152"/>
    </row>
    <row r="107" spans="2:8" s="43" customFormat="1" ht="15" thickBot="1" x14ac:dyDescent="0.35">
      <c r="B107" s="44" t="s">
        <v>53</v>
      </c>
      <c r="C107" s="45">
        <v>1</v>
      </c>
      <c r="D107" s="128" t="str">
        <f t="shared" si="8"/>
        <v xml:space="preserve"> 5 min</v>
      </c>
      <c r="E107" s="48" t="s">
        <v>86</v>
      </c>
      <c r="F107" s="254"/>
      <c r="G107" s="255"/>
      <c r="H107" s="152"/>
    </row>
    <row r="108" spans="2:8" s="43" customFormat="1" ht="15" thickBot="1" x14ac:dyDescent="0.35">
      <c r="B108" s="86" t="s">
        <v>64</v>
      </c>
      <c r="C108" s="67">
        <f>SUM(C100:C107)</f>
        <v>48</v>
      </c>
      <c r="D108" s="86" t="str">
        <f xml:space="preserve"> setValueToTime(C108)</f>
        <v>4h</v>
      </c>
      <c r="E108" s="95"/>
      <c r="F108" s="252"/>
      <c r="G108" s="253"/>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45796</v>
      </c>
      <c r="G110" s="101" t="s">
        <v>79</v>
      </c>
      <c r="H110" s="151"/>
    </row>
    <row r="111" spans="2:8" s="39" customFormat="1" ht="30" customHeight="1" thickBot="1" x14ac:dyDescent="0.3">
      <c r="B111" s="63" t="s">
        <v>59</v>
      </c>
      <c r="C111" s="123" t="s">
        <v>60</v>
      </c>
      <c r="D111" s="124"/>
      <c r="E111" s="63" t="s">
        <v>61</v>
      </c>
      <c r="F111" s="246" t="s">
        <v>62</v>
      </c>
      <c r="G111" s="247"/>
      <c r="H111" s="151"/>
    </row>
    <row r="112" spans="2:8" s="43" customFormat="1" x14ac:dyDescent="0.3">
      <c r="B112" s="40" t="s">
        <v>76</v>
      </c>
      <c r="C112" s="41">
        <v>20</v>
      </c>
      <c r="D112" s="125" t="str">
        <f xml:space="preserve"> IF(C112="","",setValueToTime(C112))</f>
        <v>1h 40 min</v>
      </c>
      <c r="E112" s="42" t="s">
        <v>133</v>
      </c>
      <c r="F112" s="248"/>
      <c r="G112" s="249"/>
      <c r="H112" s="152"/>
    </row>
    <row r="113" spans="2:8" s="43" customFormat="1" x14ac:dyDescent="0.3">
      <c r="B113" s="44" t="s">
        <v>54</v>
      </c>
      <c r="C113" s="45">
        <v>8</v>
      </c>
      <c r="D113" s="126" t="str">
        <f t="shared" ref="D113:D119" si="9" xml:space="preserve"> IF(C113="","",setValueToTime(C113))</f>
        <v xml:space="preserve"> 40 min</v>
      </c>
      <c r="E113" s="201" t="s">
        <v>152</v>
      </c>
      <c r="F113" s="250"/>
      <c r="G113" s="251"/>
      <c r="H113" s="152"/>
    </row>
    <row r="114" spans="2:8" s="43" customFormat="1" x14ac:dyDescent="0.3">
      <c r="B114" s="44"/>
      <c r="C114" s="45"/>
      <c r="D114" s="126" t="str">
        <f t="shared" si="9"/>
        <v/>
      </c>
      <c r="E114" s="46"/>
      <c r="F114" s="250"/>
      <c r="G114" s="251"/>
      <c r="H114" s="152"/>
    </row>
    <row r="115" spans="2:8" s="43" customFormat="1" x14ac:dyDescent="0.3">
      <c r="B115" s="44"/>
      <c r="C115" s="45"/>
      <c r="D115" s="126" t="str">
        <f t="shared" si="9"/>
        <v/>
      </c>
      <c r="E115" s="46"/>
      <c r="F115" s="250"/>
      <c r="G115" s="251"/>
      <c r="H115" s="152"/>
    </row>
    <row r="116" spans="2:8" s="43" customFormat="1" x14ac:dyDescent="0.3">
      <c r="B116" s="44"/>
      <c r="C116" s="45"/>
      <c r="D116" s="127" t="str">
        <f t="shared" si="9"/>
        <v/>
      </c>
      <c r="E116" s="46"/>
      <c r="F116" s="250"/>
      <c r="G116" s="251"/>
      <c r="H116" s="152"/>
    </row>
    <row r="117" spans="2:8" s="43" customFormat="1" x14ac:dyDescent="0.3">
      <c r="B117" s="44"/>
      <c r="C117" s="45"/>
      <c r="D117" s="127" t="str">
        <f t="shared" si="9"/>
        <v/>
      </c>
      <c r="E117" s="46"/>
      <c r="F117" s="250"/>
      <c r="G117" s="251"/>
      <c r="H117" s="152"/>
    </row>
    <row r="118" spans="2:8" s="43" customFormat="1" x14ac:dyDescent="0.3">
      <c r="B118" s="44"/>
      <c r="C118" s="45"/>
      <c r="D118" s="127" t="str">
        <f t="shared" si="9"/>
        <v/>
      </c>
      <c r="E118" s="46"/>
      <c r="F118" s="250"/>
      <c r="G118" s="251"/>
      <c r="H118" s="152"/>
    </row>
    <row r="119" spans="2:8" s="43" customFormat="1" ht="15" thickBot="1" x14ac:dyDescent="0.35">
      <c r="B119" s="44" t="s">
        <v>53</v>
      </c>
      <c r="C119" s="45">
        <v>1</v>
      </c>
      <c r="D119" s="128" t="str">
        <f t="shared" si="9"/>
        <v xml:space="preserve"> 5 min</v>
      </c>
      <c r="E119" s="48" t="s">
        <v>86</v>
      </c>
      <c r="F119" s="254"/>
      <c r="G119" s="255"/>
      <c r="H119" s="152"/>
    </row>
    <row r="120" spans="2:8" s="43" customFormat="1" ht="15" thickBot="1" x14ac:dyDescent="0.35">
      <c r="B120" s="86" t="s">
        <v>64</v>
      </c>
      <c r="C120" s="67">
        <f>SUM(C112:C119)</f>
        <v>29</v>
      </c>
      <c r="D120" s="86" t="str">
        <f xml:space="preserve"> setValueToTime(C120)</f>
        <v>2h 25 min</v>
      </c>
      <c r="E120" s="95"/>
      <c r="F120" s="252"/>
      <c r="G120" s="253"/>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45796</v>
      </c>
      <c r="G122" s="101" t="s">
        <v>78</v>
      </c>
      <c r="H122" s="151"/>
    </row>
    <row r="123" spans="2:8" s="39" customFormat="1" ht="30" customHeight="1" thickBot="1" x14ac:dyDescent="0.3">
      <c r="B123" s="63" t="s">
        <v>59</v>
      </c>
      <c r="C123" s="123" t="s">
        <v>60</v>
      </c>
      <c r="D123" s="124"/>
      <c r="E123" s="63" t="s">
        <v>61</v>
      </c>
      <c r="F123" s="246" t="s">
        <v>62</v>
      </c>
      <c r="G123" s="247"/>
      <c r="H123" s="151"/>
    </row>
    <row r="124" spans="2:8" s="43" customFormat="1" x14ac:dyDescent="0.3">
      <c r="B124" s="44" t="s">
        <v>70</v>
      </c>
      <c r="C124" s="45">
        <v>6</v>
      </c>
      <c r="D124" s="125" t="str">
        <f xml:space="preserve"> IF(C124="","",setValueToTime(C124))</f>
        <v xml:space="preserve"> 30 min</v>
      </c>
      <c r="E124" s="42" t="s">
        <v>124</v>
      </c>
      <c r="F124" s="248"/>
      <c r="G124" s="249"/>
      <c r="H124" s="152"/>
    </row>
    <row r="125" spans="2:8" s="43" customFormat="1" x14ac:dyDescent="0.3">
      <c r="B125" s="44" t="s">
        <v>76</v>
      </c>
      <c r="C125" s="45">
        <v>31</v>
      </c>
      <c r="D125" s="126" t="str">
        <f t="shared" ref="D125:D131" si="10" xml:space="preserve"> IF(C125="","",setValueToTime(C125))</f>
        <v>2h 35 min</v>
      </c>
      <c r="E125" s="46" t="s">
        <v>132</v>
      </c>
      <c r="F125" s="250"/>
      <c r="G125" s="251"/>
      <c r="H125" s="152"/>
    </row>
    <row r="126" spans="2:8" s="43" customFormat="1" x14ac:dyDescent="0.3">
      <c r="B126" s="44"/>
      <c r="C126" s="45"/>
      <c r="D126" s="126" t="str">
        <f t="shared" si="10"/>
        <v/>
      </c>
      <c r="E126" s="46" t="s">
        <v>66</v>
      </c>
      <c r="F126" s="250"/>
      <c r="G126" s="251"/>
      <c r="H126" s="152"/>
    </row>
    <row r="127" spans="2:8" s="43" customFormat="1" x14ac:dyDescent="0.3">
      <c r="B127" s="44"/>
      <c r="C127" s="45"/>
      <c r="D127" s="126" t="str">
        <f t="shared" si="10"/>
        <v/>
      </c>
      <c r="E127" s="46"/>
      <c r="F127" s="250"/>
      <c r="G127" s="251"/>
      <c r="H127" s="152"/>
    </row>
    <row r="128" spans="2:8" s="43" customFormat="1" x14ac:dyDescent="0.3">
      <c r="B128" s="44"/>
      <c r="C128" s="45"/>
      <c r="D128" s="127" t="str">
        <f t="shared" si="10"/>
        <v/>
      </c>
      <c r="E128" s="46"/>
      <c r="F128" s="250"/>
      <c r="G128" s="251"/>
      <c r="H128" s="152"/>
    </row>
    <row r="129" spans="2:8" s="43" customFormat="1" x14ac:dyDescent="0.3">
      <c r="B129" s="44"/>
      <c r="C129" s="45"/>
      <c r="D129" s="127" t="str">
        <f t="shared" si="10"/>
        <v/>
      </c>
      <c r="E129" s="46"/>
      <c r="F129" s="250"/>
      <c r="G129" s="251"/>
      <c r="H129" s="152"/>
    </row>
    <row r="130" spans="2:8" s="43" customFormat="1" x14ac:dyDescent="0.3">
      <c r="B130" s="44"/>
      <c r="C130" s="45"/>
      <c r="D130" s="127" t="str">
        <f t="shared" si="10"/>
        <v/>
      </c>
      <c r="E130" s="46"/>
      <c r="F130" s="250"/>
      <c r="G130" s="251"/>
      <c r="H130" s="152"/>
    </row>
    <row r="131" spans="2:8" s="43" customFormat="1" ht="15" thickBot="1" x14ac:dyDescent="0.35">
      <c r="B131" s="44" t="s">
        <v>53</v>
      </c>
      <c r="C131" s="45">
        <v>1</v>
      </c>
      <c r="D131" s="128" t="str">
        <f t="shared" si="10"/>
        <v xml:space="preserve"> 5 min</v>
      </c>
      <c r="E131" s="48" t="s">
        <v>86</v>
      </c>
      <c r="F131" s="254"/>
      <c r="G131" s="255"/>
      <c r="H131" s="152"/>
    </row>
    <row r="132" spans="2:8" s="43" customFormat="1" ht="15" thickBot="1" x14ac:dyDescent="0.35">
      <c r="B132" s="86" t="s">
        <v>64</v>
      </c>
      <c r="C132" s="67">
        <f>SUM(C124:C131)</f>
        <v>38</v>
      </c>
      <c r="D132" s="86" t="str">
        <f xml:space="preserve"> setValueToTime(C132)</f>
        <v>3h 10 min</v>
      </c>
      <c r="E132" s="95"/>
      <c r="F132" s="252"/>
      <c r="G132" s="253"/>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45793</v>
      </c>
      <c r="G134" s="101" t="s">
        <v>79</v>
      </c>
      <c r="H134" s="151"/>
    </row>
    <row r="135" spans="2:8" s="39" customFormat="1" ht="30" customHeight="1" thickBot="1" x14ac:dyDescent="0.3">
      <c r="B135" s="63" t="s">
        <v>59</v>
      </c>
      <c r="C135" s="123" t="s">
        <v>60</v>
      </c>
      <c r="D135" s="124"/>
      <c r="E135" s="63" t="s">
        <v>61</v>
      </c>
      <c r="F135" s="246" t="s">
        <v>62</v>
      </c>
      <c r="G135" s="247"/>
      <c r="H135" s="151"/>
    </row>
    <row r="136" spans="2:8" s="43" customFormat="1" ht="27" x14ac:dyDescent="0.3">
      <c r="B136" s="40" t="s">
        <v>71</v>
      </c>
      <c r="C136" s="41">
        <v>12</v>
      </c>
      <c r="D136" s="125" t="str">
        <f xml:space="preserve"> IF(C136="","",setValueToTime(C136))</f>
        <v>1h</v>
      </c>
      <c r="E136" s="42" t="s">
        <v>131</v>
      </c>
      <c r="F136" s="248"/>
      <c r="G136" s="249"/>
      <c r="H136" s="152"/>
    </row>
    <row r="137" spans="2:8" s="43" customFormat="1" ht="27" x14ac:dyDescent="0.3">
      <c r="B137" s="44" t="s">
        <v>76</v>
      </c>
      <c r="C137" s="45">
        <v>25</v>
      </c>
      <c r="D137" s="126" t="str">
        <f t="shared" ref="D137:D143" si="11" xml:space="preserve"> IF(C137="","",setValueToTime(C137))</f>
        <v>2h 5 min</v>
      </c>
      <c r="E137" s="46" t="s">
        <v>130</v>
      </c>
      <c r="F137" s="250"/>
      <c r="G137" s="251"/>
      <c r="H137" s="152"/>
    </row>
    <row r="138" spans="2:8" s="43" customFormat="1" x14ac:dyDescent="0.3">
      <c r="B138" s="44"/>
      <c r="C138" s="45"/>
      <c r="D138" s="126" t="str">
        <f t="shared" si="11"/>
        <v/>
      </c>
      <c r="E138" s="46"/>
      <c r="F138" s="250"/>
      <c r="G138" s="251"/>
      <c r="H138" s="152"/>
    </row>
    <row r="139" spans="2:8" s="43" customFormat="1" x14ac:dyDescent="0.3">
      <c r="B139" s="44"/>
      <c r="C139" s="45"/>
      <c r="D139" s="126" t="str">
        <f t="shared" si="11"/>
        <v/>
      </c>
      <c r="E139" s="46"/>
      <c r="F139" s="250"/>
      <c r="G139" s="251"/>
      <c r="H139" s="152"/>
    </row>
    <row r="140" spans="2:8" s="43" customFormat="1" x14ac:dyDescent="0.3">
      <c r="B140" s="44"/>
      <c r="C140" s="45"/>
      <c r="D140" s="127" t="str">
        <f t="shared" si="11"/>
        <v/>
      </c>
      <c r="E140" s="46"/>
      <c r="F140" s="250"/>
      <c r="G140" s="251"/>
      <c r="H140" s="152"/>
    </row>
    <row r="141" spans="2:8" s="43" customFormat="1" x14ac:dyDescent="0.3">
      <c r="B141" s="44"/>
      <c r="C141" s="45"/>
      <c r="D141" s="127" t="str">
        <f t="shared" si="11"/>
        <v/>
      </c>
      <c r="E141" s="46"/>
      <c r="F141" s="250"/>
      <c r="G141" s="251"/>
      <c r="H141" s="152"/>
    </row>
    <row r="142" spans="2:8" s="43" customFormat="1" x14ac:dyDescent="0.3">
      <c r="B142" s="44"/>
      <c r="C142" s="45"/>
      <c r="D142" s="127" t="str">
        <f t="shared" si="11"/>
        <v/>
      </c>
      <c r="E142" s="46"/>
      <c r="F142" s="250"/>
      <c r="G142" s="251"/>
      <c r="H142" s="152"/>
    </row>
    <row r="143" spans="2:8" s="43" customFormat="1" ht="15" thickBot="1" x14ac:dyDescent="0.35">
      <c r="B143" s="44" t="s">
        <v>53</v>
      </c>
      <c r="C143" s="45">
        <v>1</v>
      </c>
      <c r="D143" s="128" t="str">
        <f t="shared" si="11"/>
        <v xml:space="preserve"> 5 min</v>
      </c>
      <c r="E143" s="48" t="s">
        <v>86</v>
      </c>
      <c r="F143" s="254"/>
      <c r="G143" s="255"/>
      <c r="H143" s="152"/>
    </row>
    <row r="144" spans="2:8" s="43" customFormat="1" ht="15" thickBot="1" x14ac:dyDescent="0.35">
      <c r="B144" s="86" t="s">
        <v>64</v>
      </c>
      <c r="C144" s="67">
        <f>SUM(C136:C143)</f>
        <v>38</v>
      </c>
      <c r="D144" s="86" t="str">
        <f xml:space="preserve"> setValueToTime(C144)</f>
        <v>3h 10 min</v>
      </c>
      <c r="E144" s="95"/>
      <c r="F144" s="252"/>
      <c r="G144" s="253"/>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45793</v>
      </c>
      <c r="G146" s="101" t="s">
        <v>78</v>
      </c>
      <c r="H146" s="151"/>
    </row>
    <row r="147" spans="2:8" s="39" customFormat="1" ht="30" customHeight="1" thickBot="1" x14ac:dyDescent="0.3">
      <c r="B147" s="63" t="s">
        <v>59</v>
      </c>
      <c r="C147" s="123" t="s">
        <v>60</v>
      </c>
      <c r="D147" s="124"/>
      <c r="E147" s="63" t="s">
        <v>61</v>
      </c>
      <c r="F147" s="246" t="s">
        <v>62</v>
      </c>
      <c r="G147" s="247"/>
      <c r="H147" s="151"/>
    </row>
    <row r="148" spans="2:8" s="43" customFormat="1" x14ac:dyDescent="0.3">
      <c r="B148" s="40" t="s">
        <v>68</v>
      </c>
      <c r="C148" s="41">
        <v>6</v>
      </c>
      <c r="D148" s="125" t="str">
        <f xml:space="preserve"> IF(C148="","",setValueToTime(C148))</f>
        <v xml:space="preserve"> 30 min</v>
      </c>
      <c r="E148" s="42" t="s">
        <v>87</v>
      </c>
      <c r="F148" s="248"/>
      <c r="G148" s="249"/>
      <c r="H148" s="152"/>
    </row>
    <row r="149" spans="2:8" s="43" customFormat="1" x14ac:dyDescent="0.3">
      <c r="B149" s="44" t="s">
        <v>70</v>
      </c>
      <c r="C149" s="45">
        <v>6</v>
      </c>
      <c r="D149" s="126" t="str">
        <f t="shared" ref="D149:D155" si="12" xml:space="preserve"> IF(C149="","",setValueToTime(C149))</f>
        <v xml:space="preserve"> 30 min</v>
      </c>
      <c r="E149" s="46" t="s">
        <v>124</v>
      </c>
      <c r="F149" s="250"/>
      <c r="G149" s="251"/>
      <c r="H149" s="152"/>
    </row>
    <row r="150" spans="2:8" s="43" customFormat="1" x14ac:dyDescent="0.3">
      <c r="B150" s="44" t="s">
        <v>54</v>
      </c>
      <c r="C150" s="45">
        <v>10</v>
      </c>
      <c r="D150" s="126" t="str">
        <f t="shared" si="12"/>
        <v xml:space="preserve"> 50 min</v>
      </c>
      <c r="E150" s="201" t="s">
        <v>152</v>
      </c>
      <c r="F150" s="250"/>
      <c r="G150" s="251"/>
      <c r="H150" s="152"/>
    </row>
    <row r="151" spans="2:8" s="43" customFormat="1" ht="27" x14ac:dyDescent="0.3">
      <c r="B151" s="44" t="s">
        <v>75</v>
      </c>
      <c r="C151" s="45">
        <v>25</v>
      </c>
      <c r="D151" s="126" t="str">
        <f t="shared" si="12"/>
        <v>2h 5 min</v>
      </c>
      <c r="E151" s="46" t="s">
        <v>129</v>
      </c>
      <c r="F151" s="250"/>
      <c r="G151" s="251"/>
      <c r="H151" s="152"/>
    </row>
    <row r="152" spans="2:8" s="43" customFormat="1" x14ac:dyDescent="0.3">
      <c r="B152" s="44"/>
      <c r="C152" s="45"/>
      <c r="D152" s="127" t="str">
        <f t="shared" si="12"/>
        <v/>
      </c>
      <c r="E152" s="46"/>
      <c r="F152" s="250"/>
      <c r="G152" s="251"/>
      <c r="H152" s="152"/>
    </row>
    <row r="153" spans="2:8" s="43" customFormat="1" x14ac:dyDescent="0.3">
      <c r="B153" s="44"/>
      <c r="C153" s="45"/>
      <c r="D153" s="127" t="str">
        <f t="shared" si="12"/>
        <v/>
      </c>
      <c r="E153" s="46"/>
      <c r="F153" s="250"/>
      <c r="G153" s="251"/>
      <c r="H153" s="152"/>
    </row>
    <row r="154" spans="2:8" s="43" customFormat="1" x14ac:dyDescent="0.3">
      <c r="B154" s="44"/>
      <c r="C154" s="45"/>
      <c r="D154" s="127" t="str">
        <f t="shared" si="12"/>
        <v/>
      </c>
      <c r="E154" s="46"/>
      <c r="F154" s="250"/>
      <c r="G154" s="251"/>
      <c r="H154" s="152"/>
    </row>
    <row r="155" spans="2:8" s="43" customFormat="1" ht="15" thickBot="1" x14ac:dyDescent="0.35">
      <c r="B155" s="44" t="s">
        <v>53</v>
      </c>
      <c r="C155" s="45">
        <v>1</v>
      </c>
      <c r="D155" s="128" t="str">
        <f t="shared" si="12"/>
        <v xml:space="preserve"> 5 min</v>
      </c>
      <c r="E155" s="48" t="s">
        <v>86</v>
      </c>
      <c r="F155" s="254"/>
      <c r="G155" s="255"/>
      <c r="H155" s="152"/>
    </row>
    <row r="156" spans="2:8" s="43" customFormat="1" ht="15" thickBot="1" x14ac:dyDescent="0.35">
      <c r="B156" s="86" t="s">
        <v>64</v>
      </c>
      <c r="C156" s="67">
        <f>SUM(C148:C155)</f>
        <v>48</v>
      </c>
      <c r="D156" s="86" t="str">
        <f xml:space="preserve"> setValueToTime(C156)</f>
        <v>4h</v>
      </c>
      <c r="E156" s="95"/>
      <c r="F156" s="252"/>
      <c r="G156" s="253"/>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45792</v>
      </c>
      <c r="G158" s="101" t="s">
        <v>79</v>
      </c>
      <c r="H158" s="151"/>
    </row>
    <row r="159" spans="2:8" s="39" customFormat="1" ht="30" customHeight="1" thickBot="1" x14ac:dyDescent="0.3">
      <c r="B159" s="63" t="s">
        <v>59</v>
      </c>
      <c r="C159" s="123" t="s">
        <v>60</v>
      </c>
      <c r="D159" s="124"/>
      <c r="E159" s="63" t="s">
        <v>61</v>
      </c>
      <c r="F159" s="246" t="s">
        <v>62</v>
      </c>
      <c r="G159" s="247"/>
      <c r="H159" s="151"/>
    </row>
    <row r="160" spans="2:8" s="43" customFormat="1" x14ac:dyDescent="0.3">
      <c r="B160" s="40" t="s">
        <v>71</v>
      </c>
      <c r="C160" s="41">
        <v>8</v>
      </c>
      <c r="D160" s="125" t="str">
        <f xml:space="preserve"> IF(C160="","",setValueToTime(C160))</f>
        <v xml:space="preserve"> 40 min</v>
      </c>
      <c r="E160" s="42" t="s">
        <v>127</v>
      </c>
      <c r="F160" s="248"/>
      <c r="G160" s="249"/>
      <c r="H160" s="152"/>
    </row>
    <row r="161" spans="2:8" s="43" customFormat="1" ht="27" x14ac:dyDescent="0.3">
      <c r="B161" s="44" t="s">
        <v>75</v>
      </c>
      <c r="C161" s="45">
        <v>29</v>
      </c>
      <c r="D161" s="126" t="str">
        <f t="shared" ref="D161:D167" si="13" xml:space="preserve"> IF(C161="","",setValueToTime(C161))</f>
        <v>2h 25 min</v>
      </c>
      <c r="E161" s="46" t="s">
        <v>128</v>
      </c>
      <c r="F161" s="250"/>
      <c r="G161" s="251"/>
      <c r="H161" s="152"/>
    </row>
    <row r="162" spans="2:8" s="43" customFormat="1" x14ac:dyDescent="0.3">
      <c r="B162" s="44"/>
      <c r="C162" s="45"/>
      <c r="D162" s="126" t="str">
        <f t="shared" si="13"/>
        <v/>
      </c>
      <c r="E162" s="46"/>
      <c r="F162" s="250"/>
      <c r="G162" s="251"/>
      <c r="H162" s="152"/>
    </row>
    <row r="163" spans="2:8" s="43" customFormat="1" x14ac:dyDescent="0.3">
      <c r="B163" s="44"/>
      <c r="C163" s="45"/>
      <c r="D163" s="126" t="str">
        <f t="shared" si="13"/>
        <v/>
      </c>
      <c r="E163" s="46"/>
      <c r="F163" s="250"/>
      <c r="G163" s="251"/>
      <c r="H163" s="152"/>
    </row>
    <row r="164" spans="2:8" s="43" customFormat="1" x14ac:dyDescent="0.3">
      <c r="B164" s="44"/>
      <c r="C164" s="45"/>
      <c r="D164" s="127" t="str">
        <f t="shared" si="13"/>
        <v/>
      </c>
      <c r="E164" s="46"/>
      <c r="F164" s="250"/>
      <c r="G164" s="251"/>
      <c r="H164" s="152"/>
    </row>
    <row r="165" spans="2:8" s="43" customFormat="1" x14ac:dyDescent="0.3">
      <c r="B165" s="44"/>
      <c r="C165" s="45"/>
      <c r="D165" s="127" t="str">
        <f t="shared" si="13"/>
        <v/>
      </c>
      <c r="E165" s="46"/>
      <c r="F165" s="250"/>
      <c r="G165" s="251"/>
      <c r="H165" s="152"/>
    </row>
    <row r="166" spans="2:8" s="43" customFormat="1" x14ac:dyDescent="0.3">
      <c r="B166" s="44"/>
      <c r="C166" s="45"/>
      <c r="D166" s="127" t="str">
        <f t="shared" si="13"/>
        <v/>
      </c>
      <c r="E166" s="46"/>
      <c r="F166" s="250"/>
      <c r="G166" s="251"/>
      <c r="H166" s="152"/>
    </row>
    <row r="167" spans="2:8" s="43" customFormat="1" ht="15" thickBot="1" x14ac:dyDescent="0.35">
      <c r="B167" s="44" t="s">
        <v>53</v>
      </c>
      <c r="C167" s="45">
        <v>1</v>
      </c>
      <c r="D167" s="128" t="str">
        <f t="shared" si="13"/>
        <v xml:space="preserve"> 5 min</v>
      </c>
      <c r="E167" s="48" t="s">
        <v>86</v>
      </c>
      <c r="F167" s="254"/>
      <c r="G167" s="255"/>
      <c r="H167" s="152"/>
    </row>
    <row r="168" spans="2:8" s="43" customFormat="1" ht="15" thickBot="1" x14ac:dyDescent="0.35">
      <c r="B168" s="86" t="s">
        <v>64</v>
      </c>
      <c r="C168" s="67">
        <f>SUM(C160:C167)</f>
        <v>38</v>
      </c>
      <c r="D168" s="86" t="str">
        <f xml:space="preserve"> setValueToTime(C168)</f>
        <v>3h 10 min</v>
      </c>
      <c r="E168" s="95"/>
      <c r="F168" s="252"/>
      <c r="G168" s="253"/>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45791</v>
      </c>
      <c r="G170" s="101" t="s">
        <v>79</v>
      </c>
      <c r="H170" s="151"/>
    </row>
    <row r="171" spans="2:8" s="39" customFormat="1" ht="30" customHeight="1" thickBot="1" x14ac:dyDescent="0.3">
      <c r="B171" s="63" t="s">
        <v>59</v>
      </c>
      <c r="C171" s="123" t="s">
        <v>60</v>
      </c>
      <c r="D171" s="124"/>
      <c r="E171" s="63" t="s">
        <v>61</v>
      </c>
      <c r="F171" s="246" t="s">
        <v>62</v>
      </c>
      <c r="G171" s="247"/>
      <c r="H171" s="151"/>
    </row>
    <row r="172" spans="2:8" s="43" customFormat="1" ht="27" x14ac:dyDescent="0.3">
      <c r="B172" s="40" t="s">
        <v>75</v>
      </c>
      <c r="C172" s="41">
        <v>27</v>
      </c>
      <c r="D172" s="125" t="str">
        <f xml:space="preserve"> IF(C172="","",setValueToTime(C172))</f>
        <v>2h 15 min</v>
      </c>
      <c r="E172" s="42" t="s">
        <v>126</v>
      </c>
      <c r="F172" s="248"/>
      <c r="G172" s="249"/>
      <c r="H172" s="152"/>
    </row>
    <row r="173" spans="2:8" s="43" customFormat="1" x14ac:dyDescent="0.3">
      <c r="B173" s="44" t="s">
        <v>54</v>
      </c>
      <c r="C173" s="45">
        <v>10</v>
      </c>
      <c r="D173" s="126" t="str">
        <f t="shared" ref="D173:D179" si="14" xml:space="preserve"> IF(C173="","",setValueToTime(C173))</f>
        <v xml:space="preserve"> 50 min</v>
      </c>
      <c r="E173" s="201" t="s">
        <v>152</v>
      </c>
      <c r="F173" s="250"/>
      <c r="G173" s="251"/>
      <c r="H173" s="152"/>
    </row>
    <row r="174" spans="2:8" s="43" customFormat="1" x14ac:dyDescent="0.3">
      <c r="B174" s="44"/>
      <c r="C174" s="45"/>
      <c r="D174" s="126" t="str">
        <f t="shared" si="14"/>
        <v/>
      </c>
      <c r="E174" s="46"/>
      <c r="F174" s="250"/>
      <c r="G174" s="251"/>
      <c r="H174" s="152"/>
    </row>
    <row r="175" spans="2:8" s="43" customFormat="1" x14ac:dyDescent="0.3">
      <c r="B175" s="44"/>
      <c r="C175" s="45"/>
      <c r="D175" s="126" t="str">
        <f t="shared" si="14"/>
        <v/>
      </c>
      <c r="E175" s="46"/>
      <c r="F175" s="250"/>
      <c r="G175" s="251"/>
      <c r="H175" s="152"/>
    </row>
    <row r="176" spans="2:8" s="43" customFormat="1" x14ac:dyDescent="0.3">
      <c r="B176" s="44"/>
      <c r="C176" s="45"/>
      <c r="D176" s="127" t="str">
        <f t="shared" si="14"/>
        <v/>
      </c>
      <c r="E176" s="46"/>
      <c r="F176" s="250"/>
      <c r="G176" s="251"/>
      <c r="H176" s="152"/>
    </row>
    <row r="177" spans="2:8" s="43" customFormat="1" x14ac:dyDescent="0.3">
      <c r="B177" s="44"/>
      <c r="C177" s="45"/>
      <c r="D177" s="127" t="str">
        <f t="shared" si="14"/>
        <v/>
      </c>
      <c r="E177" s="46"/>
      <c r="F177" s="250"/>
      <c r="G177" s="251"/>
      <c r="H177" s="152"/>
    </row>
    <row r="178" spans="2:8" s="43" customFormat="1" x14ac:dyDescent="0.3">
      <c r="B178" s="44"/>
      <c r="C178" s="45"/>
      <c r="D178" s="127" t="str">
        <f t="shared" si="14"/>
        <v/>
      </c>
      <c r="E178" s="46"/>
      <c r="F178" s="250"/>
      <c r="G178" s="251"/>
      <c r="H178" s="152"/>
    </row>
    <row r="179" spans="2:8" s="43" customFormat="1" ht="15" thickBot="1" x14ac:dyDescent="0.35">
      <c r="B179" s="44" t="s">
        <v>53</v>
      </c>
      <c r="C179" s="45">
        <v>1</v>
      </c>
      <c r="D179" s="128" t="str">
        <f t="shared" si="14"/>
        <v xml:space="preserve"> 5 min</v>
      </c>
      <c r="E179" s="48" t="s">
        <v>86</v>
      </c>
      <c r="F179" s="254"/>
      <c r="G179" s="255"/>
      <c r="H179" s="152"/>
    </row>
    <row r="180" spans="2:8" s="43" customFormat="1" ht="15" thickBot="1" x14ac:dyDescent="0.35">
      <c r="B180" s="86" t="s">
        <v>64</v>
      </c>
      <c r="C180" s="67">
        <f>SUM(C172:C179)</f>
        <v>38</v>
      </c>
      <c r="D180" s="86" t="str">
        <f xml:space="preserve"> setValueToTime(C180)</f>
        <v>3h 10 min</v>
      </c>
      <c r="E180" s="95"/>
      <c r="F180" s="252"/>
      <c r="G180" s="253"/>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45791</v>
      </c>
      <c r="G182" s="101" t="s">
        <v>78</v>
      </c>
      <c r="H182" s="151"/>
    </row>
    <row r="183" spans="2:8" s="39" customFormat="1" ht="30" customHeight="1" thickBot="1" x14ac:dyDescent="0.3">
      <c r="B183" s="63" t="s">
        <v>59</v>
      </c>
      <c r="C183" s="123" t="s">
        <v>60</v>
      </c>
      <c r="D183" s="124"/>
      <c r="E183" s="63" t="s">
        <v>61</v>
      </c>
      <c r="F183" s="246" t="s">
        <v>62</v>
      </c>
      <c r="G183" s="247"/>
      <c r="H183" s="151"/>
    </row>
    <row r="184" spans="2:8" s="43" customFormat="1" x14ac:dyDescent="0.3">
      <c r="B184" s="40" t="s">
        <v>54</v>
      </c>
      <c r="C184" s="41">
        <v>15</v>
      </c>
      <c r="D184" s="125" t="str">
        <f xml:space="preserve"> IF(C184="","",setValueToTime(C184))</f>
        <v>1h 15 min</v>
      </c>
      <c r="E184" s="201" t="s">
        <v>151</v>
      </c>
      <c r="F184" s="248"/>
      <c r="G184" s="249"/>
      <c r="H184" s="152"/>
    </row>
    <row r="185" spans="2:8" s="43" customFormat="1" x14ac:dyDescent="0.3">
      <c r="B185" s="44" t="s">
        <v>70</v>
      </c>
      <c r="C185" s="45">
        <v>7</v>
      </c>
      <c r="D185" s="126" t="str">
        <f t="shared" ref="D185:D191" si="15" xml:space="preserve"> IF(C185="","",setValueToTime(C185))</f>
        <v xml:space="preserve"> 35 min</v>
      </c>
      <c r="E185" s="46" t="s">
        <v>124</v>
      </c>
      <c r="F185" s="250"/>
      <c r="G185" s="251"/>
      <c r="H185" s="152"/>
    </row>
    <row r="186" spans="2:8" s="43" customFormat="1" ht="27" x14ac:dyDescent="0.3">
      <c r="B186" s="44" t="s">
        <v>75</v>
      </c>
      <c r="C186" s="45">
        <v>25</v>
      </c>
      <c r="D186" s="126" t="str">
        <f t="shared" si="15"/>
        <v>2h 5 min</v>
      </c>
      <c r="E186" s="46" t="s">
        <v>125</v>
      </c>
      <c r="F186" s="250"/>
      <c r="G186" s="251"/>
      <c r="H186" s="152"/>
    </row>
    <row r="187" spans="2:8" s="43" customFormat="1" x14ac:dyDescent="0.3">
      <c r="B187" s="44"/>
      <c r="C187" s="45"/>
      <c r="D187" s="126" t="str">
        <f t="shared" si="15"/>
        <v/>
      </c>
      <c r="E187" s="46"/>
      <c r="F187" s="250"/>
      <c r="G187" s="251"/>
      <c r="H187" s="152"/>
    </row>
    <row r="188" spans="2:8" s="43" customFormat="1" x14ac:dyDescent="0.3">
      <c r="B188" s="44"/>
      <c r="C188" s="45"/>
      <c r="D188" s="127" t="str">
        <f t="shared" si="15"/>
        <v/>
      </c>
      <c r="E188" s="46"/>
      <c r="F188" s="250"/>
      <c r="G188" s="251"/>
      <c r="H188" s="152"/>
    </row>
    <row r="189" spans="2:8" s="43" customFormat="1" x14ac:dyDescent="0.3">
      <c r="B189" s="44"/>
      <c r="C189" s="45"/>
      <c r="D189" s="127" t="str">
        <f t="shared" si="15"/>
        <v/>
      </c>
      <c r="E189" s="46"/>
      <c r="F189" s="250"/>
      <c r="G189" s="251"/>
      <c r="H189" s="152"/>
    </row>
    <row r="190" spans="2:8" s="43" customFormat="1" x14ac:dyDescent="0.3">
      <c r="B190" s="44"/>
      <c r="C190" s="45"/>
      <c r="D190" s="127" t="str">
        <f t="shared" si="15"/>
        <v/>
      </c>
      <c r="E190" s="46"/>
      <c r="F190" s="250"/>
      <c r="G190" s="251"/>
      <c r="H190" s="152"/>
    </row>
    <row r="191" spans="2:8" s="43" customFormat="1" ht="15" thickBot="1" x14ac:dyDescent="0.35">
      <c r="B191" s="44" t="s">
        <v>53</v>
      </c>
      <c r="C191" s="45">
        <v>1</v>
      </c>
      <c r="D191" s="128" t="str">
        <f t="shared" si="15"/>
        <v xml:space="preserve"> 5 min</v>
      </c>
      <c r="E191" s="48" t="s">
        <v>86</v>
      </c>
      <c r="F191" s="254"/>
      <c r="G191" s="255"/>
      <c r="H191" s="152"/>
    </row>
    <row r="192" spans="2:8" s="43" customFormat="1" ht="15" thickBot="1" x14ac:dyDescent="0.35">
      <c r="B192" s="86" t="s">
        <v>64</v>
      </c>
      <c r="C192" s="67">
        <f>SUM(C184:C191)</f>
        <v>48</v>
      </c>
      <c r="D192" s="86" t="str">
        <f xml:space="preserve"> setValueToTime(C192)</f>
        <v>4h</v>
      </c>
      <c r="E192" s="95"/>
      <c r="F192" s="252"/>
      <c r="G192" s="253"/>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45789</v>
      </c>
      <c r="G194" s="101" t="s">
        <v>79</v>
      </c>
      <c r="H194" s="151"/>
    </row>
    <row r="195" spans="2:8" s="39" customFormat="1" ht="30" customHeight="1" thickBot="1" x14ac:dyDescent="0.3">
      <c r="B195" s="63" t="s">
        <v>59</v>
      </c>
      <c r="C195" s="123" t="s">
        <v>60</v>
      </c>
      <c r="D195" s="124"/>
      <c r="E195" s="63" t="s">
        <v>61</v>
      </c>
      <c r="F195" s="246" t="s">
        <v>62</v>
      </c>
      <c r="G195" s="247"/>
      <c r="H195" s="151"/>
    </row>
    <row r="196" spans="2:8" s="43" customFormat="1" ht="27" x14ac:dyDescent="0.3">
      <c r="B196" s="44" t="s">
        <v>75</v>
      </c>
      <c r="C196" s="41">
        <v>20</v>
      </c>
      <c r="D196" s="125" t="str">
        <f xml:space="preserve"> IF(C196="","",setValueToTime(C196))</f>
        <v>1h 40 min</v>
      </c>
      <c r="E196" s="46" t="s">
        <v>105</v>
      </c>
      <c r="F196" s="248"/>
      <c r="G196" s="249"/>
      <c r="H196" s="152"/>
    </row>
    <row r="197" spans="2:8" s="43" customFormat="1" x14ac:dyDescent="0.3">
      <c r="B197" s="44" t="s">
        <v>71</v>
      </c>
      <c r="C197" s="45">
        <v>8</v>
      </c>
      <c r="D197" s="126" t="str">
        <f t="shared" ref="D197:D203" si="16" xml:space="preserve"> IF(C197="","",setValueToTime(C197))</f>
        <v xml:space="preserve"> 40 min</v>
      </c>
      <c r="E197" s="46" t="s">
        <v>123</v>
      </c>
      <c r="F197" s="250"/>
      <c r="G197" s="251"/>
      <c r="H197" s="152"/>
    </row>
    <row r="198" spans="2:8" s="43" customFormat="1" x14ac:dyDescent="0.3">
      <c r="B198" s="44"/>
      <c r="C198" s="45"/>
      <c r="D198" s="126" t="str">
        <f t="shared" si="16"/>
        <v/>
      </c>
      <c r="E198" s="46"/>
      <c r="F198" s="250"/>
      <c r="G198" s="251"/>
      <c r="H198" s="152"/>
    </row>
    <row r="199" spans="2:8" s="43" customFormat="1" x14ac:dyDescent="0.3">
      <c r="B199" s="44"/>
      <c r="C199" s="45"/>
      <c r="D199" s="126" t="str">
        <f t="shared" si="16"/>
        <v/>
      </c>
      <c r="E199" s="46"/>
      <c r="F199" s="250"/>
      <c r="G199" s="251"/>
      <c r="H199" s="152"/>
    </row>
    <row r="200" spans="2:8" s="43" customFormat="1" x14ac:dyDescent="0.3">
      <c r="B200" s="44"/>
      <c r="C200" s="45"/>
      <c r="D200" s="127" t="str">
        <f t="shared" si="16"/>
        <v/>
      </c>
      <c r="E200" s="46"/>
      <c r="F200" s="250"/>
      <c r="G200" s="251"/>
      <c r="H200" s="152"/>
    </row>
    <row r="201" spans="2:8" s="43" customFormat="1" x14ac:dyDescent="0.3">
      <c r="B201" s="44"/>
      <c r="C201" s="45"/>
      <c r="D201" s="127" t="str">
        <f t="shared" si="16"/>
        <v/>
      </c>
      <c r="E201" s="46"/>
      <c r="F201" s="250"/>
      <c r="G201" s="251"/>
      <c r="H201" s="152"/>
    </row>
    <row r="202" spans="2:8" s="43" customFormat="1" x14ac:dyDescent="0.3">
      <c r="B202" s="44"/>
      <c r="C202" s="45"/>
      <c r="D202" s="127" t="str">
        <f t="shared" si="16"/>
        <v/>
      </c>
      <c r="E202" s="46"/>
      <c r="F202" s="250"/>
      <c r="G202" s="251"/>
      <c r="H202" s="152"/>
    </row>
    <row r="203" spans="2:8" s="43" customFormat="1" ht="15" thickBot="1" x14ac:dyDescent="0.35">
      <c r="B203" s="44" t="s">
        <v>53</v>
      </c>
      <c r="C203" s="45">
        <v>1</v>
      </c>
      <c r="D203" s="128" t="str">
        <f t="shared" si="16"/>
        <v xml:space="preserve"> 5 min</v>
      </c>
      <c r="E203" s="48" t="s">
        <v>86</v>
      </c>
      <c r="F203" s="254"/>
      <c r="G203" s="255"/>
      <c r="H203" s="152"/>
    </row>
    <row r="204" spans="2:8" s="43" customFormat="1" ht="15" thickBot="1" x14ac:dyDescent="0.35">
      <c r="B204" s="86" t="s">
        <v>64</v>
      </c>
      <c r="C204" s="67">
        <f>SUM(C196:C203)</f>
        <v>29</v>
      </c>
      <c r="D204" s="86" t="str">
        <f xml:space="preserve"> setValueToTime(C204)</f>
        <v>2h 25 min</v>
      </c>
      <c r="E204" s="95"/>
      <c r="F204" s="252"/>
      <c r="G204" s="253"/>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45789</v>
      </c>
      <c r="G206" s="101" t="s">
        <v>78</v>
      </c>
      <c r="H206" s="151"/>
    </row>
    <row r="207" spans="2:8" s="39" customFormat="1" ht="30" customHeight="1" thickBot="1" x14ac:dyDescent="0.3">
      <c r="B207" s="63" t="s">
        <v>59</v>
      </c>
      <c r="C207" s="123" t="s">
        <v>60</v>
      </c>
      <c r="D207" s="124"/>
      <c r="E207" s="63" t="s">
        <v>61</v>
      </c>
      <c r="F207" s="246" t="s">
        <v>62</v>
      </c>
      <c r="G207" s="247"/>
      <c r="H207" s="151"/>
    </row>
    <row r="208" spans="2:8" s="43" customFormat="1" x14ac:dyDescent="0.3">
      <c r="B208" s="40" t="s">
        <v>71</v>
      </c>
      <c r="C208" s="41">
        <v>24</v>
      </c>
      <c r="D208" s="125" t="str">
        <f xml:space="preserve"> IF(C208="","",setValueToTime(C208))</f>
        <v>2h</v>
      </c>
      <c r="E208" s="46" t="s">
        <v>104</v>
      </c>
      <c r="F208" s="248"/>
      <c r="G208" s="249"/>
      <c r="H208" s="152"/>
    </row>
    <row r="209" spans="2:8" s="43" customFormat="1" ht="27" x14ac:dyDescent="0.3">
      <c r="B209" s="44" t="s">
        <v>75</v>
      </c>
      <c r="C209" s="45">
        <v>13</v>
      </c>
      <c r="D209" s="126" t="str">
        <f t="shared" ref="D209:D215" si="17" xml:space="preserve"> IF(C209="","",setValueToTime(C209))</f>
        <v>1h 5 min</v>
      </c>
      <c r="E209" s="46" t="s">
        <v>105</v>
      </c>
      <c r="F209" s="250"/>
      <c r="G209" s="251"/>
      <c r="H209" s="152"/>
    </row>
    <row r="210" spans="2:8" s="43" customFormat="1" x14ac:dyDescent="0.3">
      <c r="B210" s="44"/>
      <c r="C210" s="45"/>
      <c r="D210" s="126" t="str">
        <f t="shared" si="17"/>
        <v/>
      </c>
      <c r="E210" s="46"/>
      <c r="F210" s="250"/>
      <c r="G210" s="251"/>
      <c r="H210" s="152"/>
    </row>
    <row r="211" spans="2:8" s="43" customFormat="1" x14ac:dyDescent="0.3">
      <c r="B211" s="44"/>
      <c r="C211" s="45"/>
      <c r="D211" s="126" t="str">
        <f t="shared" si="17"/>
        <v/>
      </c>
      <c r="E211" s="46"/>
      <c r="F211" s="250"/>
      <c r="G211" s="251"/>
      <c r="H211" s="152"/>
    </row>
    <row r="212" spans="2:8" s="43" customFormat="1" x14ac:dyDescent="0.3">
      <c r="B212" s="44"/>
      <c r="C212" s="45"/>
      <c r="D212" s="127" t="str">
        <f t="shared" si="17"/>
        <v/>
      </c>
      <c r="E212" s="46"/>
      <c r="F212" s="250"/>
      <c r="G212" s="251"/>
      <c r="H212" s="152"/>
    </row>
    <row r="213" spans="2:8" s="43" customFormat="1" x14ac:dyDescent="0.3">
      <c r="B213" s="44"/>
      <c r="C213" s="45"/>
      <c r="D213" s="127" t="str">
        <f t="shared" si="17"/>
        <v/>
      </c>
      <c r="E213" s="46"/>
      <c r="F213" s="250"/>
      <c r="G213" s="251"/>
      <c r="H213" s="152"/>
    </row>
    <row r="214" spans="2:8" s="43" customFormat="1" x14ac:dyDescent="0.3">
      <c r="B214" s="44"/>
      <c r="C214" s="45"/>
      <c r="D214" s="127" t="str">
        <f t="shared" si="17"/>
        <v/>
      </c>
      <c r="E214" s="46"/>
      <c r="F214" s="250"/>
      <c r="G214" s="251"/>
      <c r="H214" s="152"/>
    </row>
    <row r="215" spans="2:8" s="43" customFormat="1" ht="15" thickBot="1" x14ac:dyDescent="0.35">
      <c r="B215" s="44" t="s">
        <v>53</v>
      </c>
      <c r="C215" s="45">
        <v>1</v>
      </c>
      <c r="D215" s="128" t="str">
        <f t="shared" si="17"/>
        <v xml:space="preserve"> 5 min</v>
      </c>
      <c r="E215" s="48" t="s">
        <v>86</v>
      </c>
      <c r="F215" s="254"/>
      <c r="G215" s="255"/>
      <c r="H215" s="152"/>
    </row>
    <row r="216" spans="2:8" s="43" customFormat="1" ht="15" thickBot="1" x14ac:dyDescent="0.35">
      <c r="B216" s="86" t="s">
        <v>64</v>
      </c>
      <c r="C216" s="67">
        <f>SUM(C208:C215)</f>
        <v>38</v>
      </c>
      <c r="D216" s="86" t="str">
        <f xml:space="preserve"> setValueToTime(C216)</f>
        <v>3h 10 min</v>
      </c>
      <c r="E216" s="95"/>
      <c r="F216" s="252"/>
      <c r="G216" s="253"/>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45786</v>
      </c>
      <c r="G218" s="101" t="s">
        <v>79</v>
      </c>
      <c r="H218" s="151"/>
    </row>
    <row r="219" spans="2:8" s="39" customFormat="1" ht="30" customHeight="1" thickBot="1" x14ac:dyDescent="0.3">
      <c r="B219" s="63" t="s">
        <v>59</v>
      </c>
      <c r="C219" s="123" t="s">
        <v>60</v>
      </c>
      <c r="D219" s="124"/>
      <c r="E219" s="63" t="s">
        <v>61</v>
      </c>
      <c r="F219" s="246" t="s">
        <v>62</v>
      </c>
      <c r="G219" s="247"/>
      <c r="H219" s="151"/>
    </row>
    <row r="220" spans="2:8" s="43" customFormat="1" ht="27" x14ac:dyDescent="0.3">
      <c r="B220" s="40" t="s">
        <v>102</v>
      </c>
      <c r="C220" s="41">
        <v>25</v>
      </c>
      <c r="D220" s="125" t="str">
        <f xml:space="preserve"> IF(C220="","",setValueToTime(C220))</f>
        <v>2h 5 min</v>
      </c>
      <c r="E220" s="46" t="s">
        <v>103</v>
      </c>
      <c r="F220" s="248"/>
      <c r="G220" s="249"/>
      <c r="H220" s="152"/>
    </row>
    <row r="221" spans="2:8" s="43" customFormat="1" x14ac:dyDescent="0.3">
      <c r="B221" s="44" t="s">
        <v>54</v>
      </c>
      <c r="C221" s="45">
        <v>12</v>
      </c>
      <c r="D221" s="126" t="str">
        <f t="shared" ref="D221:D227" si="18" xml:space="preserve"> IF(C221="","",setValueToTime(C221))</f>
        <v>1h</v>
      </c>
      <c r="E221" s="201" t="s">
        <v>151</v>
      </c>
      <c r="F221" s="250"/>
      <c r="G221" s="251"/>
      <c r="H221" s="152"/>
    </row>
    <row r="222" spans="2:8" s="43" customFormat="1" x14ac:dyDescent="0.3">
      <c r="B222" s="44"/>
      <c r="C222" s="45"/>
      <c r="D222" s="126" t="str">
        <f t="shared" si="18"/>
        <v/>
      </c>
      <c r="E222" s="46"/>
      <c r="F222" s="250"/>
      <c r="G222" s="251"/>
      <c r="H222" s="152"/>
    </row>
    <row r="223" spans="2:8" s="43" customFormat="1" x14ac:dyDescent="0.3">
      <c r="B223" s="44"/>
      <c r="C223" s="45"/>
      <c r="D223" s="126" t="str">
        <f t="shared" si="18"/>
        <v/>
      </c>
      <c r="E223" s="46"/>
      <c r="F223" s="250"/>
      <c r="G223" s="251"/>
      <c r="H223" s="152"/>
    </row>
    <row r="224" spans="2:8" s="43" customFormat="1" x14ac:dyDescent="0.3">
      <c r="B224" s="44"/>
      <c r="C224" s="45"/>
      <c r="D224" s="127" t="str">
        <f t="shared" si="18"/>
        <v/>
      </c>
      <c r="E224" s="46"/>
      <c r="F224" s="250"/>
      <c r="G224" s="251"/>
      <c r="H224" s="152"/>
    </row>
    <row r="225" spans="2:8" s="43" customFormat="1" x14ac:dyDescent="0.3">
      <c r="B225" s="44"/>
      <c r="C225" s="45"/>
      <c r="D225" s="127" t="str">
        <f t="shared" si="18"/>
        <v/>
      </c>
      <c r="E225" s="46"/>
      <c r="F225" s="250"/>
      <c r="G225" s="251"/>
      <c r="H225" s="152"/>
    </row>
    <row r="226" spans="2:8" s="43" customFormat="1" x14ac:dyDescent="0.3">
      <c r="B226" s="44"/>
      <c r="C226" s="45"/>
      <c r="D226" s="127" t="str">
        <f t="shared" si="18"/>
        <v/>
      </c>
      <c r="E226" s="46"/>
      <c r="F226" s="250"/>
      <c r="G226" s="251"/>
      <c r="H226" s="152"/>
    </row>
    <row r="227" spans="2:8" s="43" customFormat="1" ht="15" thickBot="1" x14ac:dyDescent="0.35">
      <c r="B227" s="44" t="s">
        <v>53</v>
      </c>
      <c r="C227" s="45">
        <v>1</v>
      </c>
      <c r="D227" s="128" t="str">
        <f t="shared" si="18"/>
        <v xml:space="preserve"> 5 min</v>
      </c>
      <c r="E227" s="48" t="s">
        <v>86</v>
      </c>
      <c r="F227" s="254"/>
      <c r="G227" s="255"/>
      <c r="H227" s="152"/>
    </row>
    <row r="228" spans="2:8" s="43" customFormat="1" ht="15" thickBot="1" x14ac:dyDescent="0.35">
      <c r="B228" s="86" t="s">
        <v>64</v>
      </c>
      <c r="C228" s="67">
        <f>SUM(C220:C227)</f>
        <v>38</v>
      </c>
      <c r="D228" s="86" t="str">
        <f xml:space="preserve"> setValueToTime(C228)</f>
        <v>3h 10 min</v>
      </c>
      <c r="E228" s="95"/>
      <c r="F228" s="252"/>
      <c r="G228" s="253"/>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45786</v>
      </c>
      <c r="G230" s="101" t="s">
        <v>78</v>
      </c>
      <c r="H230" s="151"/>
    </row>
    <row r="231" spans="2:8" s="39" customFormat="1" ht="30" customHeight="1" thickBot="1" x14ac:dyDescent="0.3">
      <c r="B231" s="63" t="s">
        <v>59</v>
      </c>
      <c r="C231" s="123" t="s">
        <v>60</v>
      </c>
      <c r="D231" s="124"/>
      <c r="E231" s="63" t="s">
        <v>61</v>
      </c>
      <c r="F231" s="246" t="s">
        <v>62</v>
      </c>
      <c r="G231" s="247"/>
      <c r="H231" s="151"/>
    </row>
    <row r="232" spans="2:8" s="43" customFormat="1" ht="27" x14ac:dyDescent="0.3">
      <c r="B232" s="40" t="s">
        <v>77</v>
      </c>
      <c r="C232" s="41">
        <v>11</v>
      </c>
      <c r="D232" s="125" t="str">
        <f xml:space="preserve"> IF(C232="","",setValueToTime(C232))</f>
        <v xml:space="preserve"> 55 min</v>
      </c>
      <c r="E232" s="42" t="s">
        <v>99</v>
      </c>
      <c r="F232" s="248"/>
      <c r="G232" s="249"/>
      <c r="H232" s="152"/>
    </row>
    <row r="233" spans="2:8" s="43" customFormat="1" x14ac:dyDescent="0.3">
      <c r="B233" s="44" t="s">
        <v>70</v>
      </c>
      <c r="C233" s="45">
        <v>6</v>
      </c>
      <c r="D233" s="126" t="str">
        <f t="shared" ref="D233:D239" si="19" xml:space="preserve"> IF(C233="","",setValueToTime(C233))</f>
        <v xml:space="preserve"> 30 min</v>
      </c>
      <c r="E233" s="46" t="s">
        <v>101</v>
      </c>
      <c r="F233" s="250"/>
      <c r="G233" s="251"/>
      <c r="H233" s="152"/>
    </row>
    <row r="234" spans="2:8" s="43" customFormat="1" ht="27" x14ac:dyDescent="0.3">
      <c r="B234" s="44" t="s">
        <v>102</v>
      </c>
      <c r="C234" s="45">
        <v>30</v>
      </c>
      <c r="D234" s="126" t="str">
        <f t="shared" si="19"/>
        <v>2h 30 min</v>
      </c>
      <c r="E234" s="46" t="s">
        <v>103</v>
      </c>
      <c r="F234" s="250"/>
      <c r="G234" s="251"/>
      <c r="H234" s="152"/>
    </row>
    <row r="235" spans="2:8" s="43" customFormat="1" x14ac:dyDescent="0.3">
      <c r="B235" s="44"/>
      <c r="C235" s="45"/>
      <c r="D235" s="126" t="str">
        <f t="shared" si="19"/>
        <v/>
      </c>
      <c r="E235" s="46"/>
      <c r="F235" s="250"/>
      <c r="G235" s="251"/>
      <c r="H235" s="152"/>
    </row>
    <row r="236" spans="2:8" s="43" customFormat="1" x14ac:dyDescent="0.3">
      <c r="B236" s="44"/>
      <c r="C236" s="45"/>
      <c r="D236" s="127" t="str">
        <f t="shared" si="19"/>
        <v/>
      </c>
      <c r="E236" s="46"/>
      <c r="F236" s="250"/>
      <c r="G236" s="251"/>
      <c r="H236" s="152"/>
    </row>
    <row r="237" spans="2:8" s="43" customFormat="1" x14ac:dyDescent="0.3">
      <c r="B237" s="44"/>
      <c r="C237" s="45"/>
      <c r="D237" s="127" t="str">
        <f t="shared" si="19"/>
        <v/>
      </c>
      <c r="E237" s="46"/>
      <c r="F237" s="250"/>
      <c r="G237" s="251"/>
      <c r="H237" s="152"/>
    </row>
    <row r="238" spans="2:8" s="43" customFormat="1" x14ac:dyDescent="0.3">
      <c r="B238" s="44"/>
      <c r="C238" s="45"/>
      <c r="D238" s="127" t="str">
        <f t="shared" si="19"/>
        <v/>
      </c>
      <c r="E238" s="46"/>
      <c r="F238" s="250"/>
      <c r="G238" s="251"/>
      <c r="H238" s="152"/>
    </row>
    <row r="239" spans="2:8" s="43" customFormat="1" ht="15" thickBot="1" x14ac:dyDescent="0.35">
      <c r="B239" s="44" t="s">
        <v>53</v>
      </c>
      <c r="C239" s="45">
        <v>1</v>
      </c>
      <c r="D239" s="128" t="str">
        <f t="shared" si="19"/>
        <v xml:space="preserve"> 5 min</v>
      </c>
      <c r="E239" s="48" t="s">
        <v>86</v>
      </c>
      <c r="F239" s="254"/>
      <c r="G239" s="255"/>
      <c r="H239" s="152"/>
    </row>
    <row r="240" spans="2:8" s="43" customFormat="1" ht="15" thickBot="1" x14ac:dyDescent="0.35">
      <c r="B240" s="86" t="s">
        <v>64</v>
      </c>
      <c r="C240" s="67">
        <f>SUM(C232:C239)</f>
        <v>48</v>
      </c>
      <c r="D240" s="86" t="str">
        <f xml:space="preserve"> setValueToTime(C240)</f>
        <v>4h</v>
      </c>
      <c r="E240" s="95"/>
      <c r="F240" s="252"/>
      <c r="G240" s="253"/>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45785</v>
      </c>
      <c r="G242" s="101" t="s">
        <v>79</v>
      </c>
      <c r="H242" s="151"/>
    </row>
    <row r="243" spans="2:8" s="39" customFormat="1" ht="30" customHeight="1" thickBot="1" x14ac:dyDescent="0.3">
      <c r="B243" s="63" t="s">
        <v>59</v>
      </c>
      <c r="C243" s="123" t="s">
        <v>60</v>
      </c>
      <c r="D243" s="124"/>
      <c r="E243" s="63" t="s">
        <v>61</v>
      </c>
      <c r="F243" s="246" t="s">
        <v>62</v>
      </c>
      <c r="G243" s="247"/>
      <c r="H243" s="151"/>
    </row>
    <row r="244" spans="2:8" s="43" customFormat="1" ht="27" x14ac:dyDescent="0.3">
      <c r="B244" s="40" t="s">
        <v>75</v>
      </c>
      <c r="C244" s="41">
        <v>15</v>
      </c>
      <c r="D244" s="125" t="str">
        <f xml:space="preserve"> IF(C244="","",setValueToTime(C244))</f>
        <v>1h 15 min</v>
      </c>
      <c r="E244" s="42" t="s">
        <v>98</v>
      </c>
      <c r="F244" s="248"/>
      <c r="G244" s="249"/>
      <c r="H244" s="152"/>
    </row>
    <row r="245" spans="2:8" s="43" customFormat="1" x14ac:dyDescent="0.3">
      <c r="B245" s="44" t="s">
        <v>54</v>
      </c>
      <c r="C245" s="45">
        <v>10</v>
      </c>
      <c r="D245" s="126" t="str">
        <f t="shared" ref="D245:D251" si="20" xml:space="preserve"> IF(C245="","",setValueToTime(C245))</f>
        <v xml:space="preserve"> 50 min</v>
      </c>
      <c r="E245" s="201" t="s">
        <v>151</v>
      </c>
      <c r="F245" s="250"/>
      <c r="G245" s="251"/>
      <c r="H245" s="152"/>
    </row>
    <row r="246" spans="2:8" s="43" customFormat="1" x14ac:dyDescent="0.3">
      <c r="B246" s="44" t="s">
        <v>71</v>
      </c>
      <c r="C246" s="45">
        <v>12</v>
      </c>
      <c r="D246" s="126" t="str">
        <f t="shared" si="20"/>
        <v>1h</v>
      </c>
      <c r="E246" s="46" t="s">
        <v>100</v>
      </c>
      <c r="F246" s="250"/>
      <c r="G246" s="251"/>
      <c r="H246" s="152"/>
    </row>
    <row r="247" spans="2:8" s="43" customFormat="1" x14ac:dyDescent="0.3">
      <c r="B247" s="44"/>
      <c r="C247" s="45"/>
      <c r="D247" s="126" t="str">
        <f t="shared" si="20"/>
        <v/>
      </c>
      <c r="E247" s="46"/>
      <c r="F247" s="250"/>
      <c r="G247" s="251"/>
      <c r="H247" s="152"/>
    </row>
    <row r="248" spans="2:8" s="43" customFormat="1" x14ac:dyDescent="0.3">
      <c r="B248" s="44"/>
      <c r="C248" s="45"/>
      <c r="D248" s="127" t="str">
        <f t="shared" si="20"/>
        <v/>
      </c>
      <c r="E248" s="46"/>
      <c r="F248" s="250"/>
      <c r="G248" s="251"/>
      <c r="H248" s="152"/>
    </row>
    <row r="249" spans="2:8" s="43" customFormat="1" x14ac:dyDescent="0.3">
      <c r="B249" s="44"/>
      <c r="C249" s="45"/>
      <c r="D249" s="127" t="str">
        <f t="shared" si="20"/>
        <v/>
      </c>
      <c r="E249" s="46"/>
      <c r="F249" s="250"/>
      <c r="G249" s="251"/>
      <c r="H249" s="152"/>
    </row>
    <row r="250" spans="2:8" s="43" customFormat="1" x14ac:dyDescent="0.3">
      <c r="B250" s="44"/>
      <c r="C250" s="45"/>
      <c r="D250" s="127" t="str">
        <f t="shared" si="20"/>
        <v/>
      </c>
      <c r="E250" s="46"/>
      <c r="F250" s="250"/>
      <c r="G250" s="251"/>
      <c r="H250" s="152"/>
    </row>
    <row r="251" spans="2:8" s="43" customFormat="1" ht="15" thickBot="1" x14ac:dyDescent="0.35">
      <c r="B251" s="44" t="s">
        <v>53</v>
      </c>
      <c r="C251" s="45">
        <v>1</v>
      </c>
      <c r="D251" s="128" t="str">
        <f t="shared" si="20"/>
        <v xml:space="preserve"> 5 min</v>
      </c>
      <c r="E251" s="48" t="s">
        <v>86</v>
      </c>
      <c r="F251" s="254"/>
      <c r="G251" s="255"/>
      <c r="H251" s="152"/>
    </row>
    <row r="252" spans="2:8" s="43" customFormat="1" ht="15" thickBot="1" x14ac:dyDescent="0.35">
      <c r="B252" s="86" t="s">
        <v>64</v>
      </c>
      <c r="C252" s="67">
        <f>SUM(C244:C251)</f>
        <v>38</v>
      </c>
      <c r="D252" s="86" t="str">
        <f xml:space="preserve"> setValueToTime(C252)</f>
        <v>3h 10 min</v>
      </c>
      <c r="E252" s="95"/>
      <c r="F252" s="252"/>
      <c r="G252" s="253"/>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45784</v>
      </c>
      <c r="G254" s="101" t="s">
        <v>79</v>
      </c>
      <c r="H254" s="151"/>
    </row>
    <row r="255" spans="2:8" s="39" customFormat="1" ht="30" customHeight="1" thickBot="1" x14ac:dyDescent="0.3">
      <c r="B255" s="63" t="s">
        <v>59</v>
      </c>
      <c r="C255" s="123" t="s">
        <v>60</v>
      </c>
      <c r="D255" s="124"/>
      <c r="E255" s="63" t="s">
        <v>61</v>
      </c>
      <c r="F255" s="246" t="s">
        <v>62</v>
      </c>
      <c r="G255" s="247"/>
      <c r="H255" s="151"/>
    </row>
    <row r="256" spans="2:8" s="43" customFormat="1" x14ac:dyDescent="0.3">
      <c r="B256" s="40" t="s">
        <v>54</v>
      </c>
      <c r="C256" s="41">
        <v>10</v>
      </c>
      <c r="D256" s="125" t="str">
        <f xml:space="preserve"> IF(C256="","",setValueToTime(C256))</f>
        <v xml:space="preserve"> 50 min</v>
      </c>
      <c r="E256" s="200" t="s">
        <v>150</v>
      </c>
      <c r="F256" s="248"/>
      <c r="G256" s="249"/>
      <c r="H256" s="152"/>
    </row>
    <row r="257" spans="2:8" s="43" customFormat="1" ht="27" x14ac:dyDescent="0.3">
      <c r="B257" s="44" t="s">
        <v>74</v>
      </c>
      <c r="C257" s="45">
        <v>12</v>
      </c>
      <c r="D257" s="126" t="str">
        <f t="shared" ref="D257:D263" si="21" xml:space="preserve"> IF(C257="","",setValueToTime(C257))</f>
        <v>1h</v>
      </c>
      <c r="E257" s="46" t="s">
        <v>93</v>
      </c>
      <c r="F257" s="250"/>
      <c r="G257" s="251"/>
      <c r="H257" s="152"/>
    </row>
    <row r="258" spans="2:8" s="43" customFormat="1" x14ac:dyDescent="0.3">
      <c r="B258" s="44" t="s">
        <v>54</v>
      </c>
      <c r="C258" s="45">
        <v>15</v>
      </c>
      <c r="D258" s="126" t="str">
        <f t="shared" si="21"/>
        <v>1h 15 min</v>
      </c>
      <c r="E258" s="46" t="s">
        <v>94</v>
      </c>
      <c r="F258" s="250"/>
      <c r="G258" s="251"/>
      <c r="H258" s="152"/>
    </row>
    <row r="259" spans="2:8" s="43" customFormat="1" x14ac:dyDescent="0.3">
      <c r="B259" s="44"/>
      <c r="C259" s="45"/>
      <c r="D259" s="126" t="str">
        <f t="shared" si="21"/>
        <v/>
      </c>
      <c r="E259" s="46"/>
      <c r="F259" s="250"/>
      <c r="G259" s="251"/>
      <c r="H259" s="152"/>
    </row>
    <row r="260" spans="2:8" s="43" customFormat="1" x14ac:dyDescent="0.3">
      <c r="B260" s="44"/>
      <c r="C260" s="45"/>
      <c r="D260" s="127" t="str">
        <f t="shared" si="21"/>
        <v/>
      </c>
      <c r="E260" s="46"/>
      <c r="F260" s="250"/>
      <c r="G260" s="251"/>
      <c r="H260" s="152"/>
    </row>
    <row r="261" spans="2:8" s="43" customFormat="1" x14ac:dyDescent="0.3">
      <c r="B261" s="44"/>
      <c r="C261" s="45"/>
      <c r="D261" s="127" t="str">
        <f t="shared" si="21"/>
        <v/>
      </c>
      <c r="E261" s="46"/>
      <c r="F261" s="250"/>
      <c r="G261" s="251"/>
      <c r="H261" s="152"/>
    </row>
    <row r="262" spans="2:8" s="43" customFormat="1" x14ac:dyDescent="0.3">
      <c r="B262" s="44"/>
      <c r="C262" s="45"/>
      <c r="D262" s="127" t="str">
        <f t="shared" si="21"/>
        <v/>
      </c>
      <c r="E262" s="46"/>
      <c r="F262" s="250"/>
      <c r="G262" s="251"/>
      <c r="H262" s="152"/>
    </row>
    <row r="263" spans="2:8" s="43" customFormat="1" ht="15" thickBot="1" x14ac:dyDescent="0.35">
      <c r="B263" s="44" t="s">
        <v>53</v>
      </c>
      <c r="C263" s="45">
        <v>1</v>
      </c>
      <c r="D263" s="128" t="str">
        <f t="shared" si="21"/>
        <v xml:space="preserve"> 5 min</v>
      </c>
      <c r="E263" s="48" t="s">
        <v>86</v>
      </c>
      <c r="F263" s="254"/>
      <c r="G263" s="255"/>
      <c r="H263" s="152"/>
    </row>
    <row r="264" spans="2:8" s="43" customFormat="1" ht="15" thickBot="1" x14ac:dyDescent="0.35">
      <c r="B264" s="86" t="s">
        <v>64</v>
      </c>
      <c r="C264" s="67">
        <f>SUM(C256:C263)</f>
        <v>38</v>
      </c>
      <c r="D264" s="86" t="str">
        <f xml:space="preserve"> setValueToTime(C264)</f>
        <v>3h 10 min</v>
      </c>
      <c r="E264" s="95"/>
      <c r="F264" s="252"/>
      <c r="G264" s="253"/>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45784</v>
      </c>
      <c r="G266" s="101" t="s">
        <v>78</v>
      </c>
      <c r="H266" s="151"/>
    </row>
    <row r="267" spans="2:8" s="39" customFormat="1" ht="30" customHeight="1" thickBot="1" x14ac:dyDescent="0.3">
      <c r="B267" s="63" t="s">
        <v>59</v>
      </c>
      <c r="C267" s="123" t="s">
        <v>60</v>
      </c>
      <c r="D267" s="124"/>
      <c r="E267" s="63" t="s">
        <v>61</v>
      </c>
      <c r="F267" s="246" t="s">
        <v>62</v>
      </c>
      <c r="G267" s="247"/>
      <c r="H267" s="151"/>
    </row>
    <row r="268" spans="2:8" s="43" customFormat="1" x14ac:dyDescent="0.3">
      <c r="B268" s="40" t="s">
        <v>85</v>
      </c>
      <c r="C268" s="41">
        <v>30</v>
      </c>
      <c r="D268" s="125" t="str">
        <f xml:space="preserve"> IF(C268="","",setValueToTime(C268))</f>
        <v>2h 30 min</v>
      </c>
      <c r="E268" s="42" t="s">
        <v>89</v>
      </c>
      <c r="F268" s="248"/>
      <c r="G268" s="249"/>
      <c r="H268" s="152"/>
    </row>
    <row r="269" spans="2:8" s="43" customFormat="1" x14ac:dyDescent="0.3">
      <c r="B269" s="44" t="s">
        <v>71</v>
      </c>
      <c r="C269" s="45">
        <v>6</v>
      </c>
      <c r="D269" s="126" t="str">
        <f t="shared" ref="D269:D275" si="22" xml:space="preserve"> IF(C269="","",setValueToTime(C269))</f>
        <v xml:space="preserve"> 30 min</v>
      </c>
      <c r="E269" s="46" t="s">
        <v>91</v>
      </c>
      <c r="F269" s="250"/>
      <c r="G269" s="251"/>
      <c r="H269" s="152"/>
    </row>
    <row r="270" spans="2:8" s="43" customFormat="1" ht="27" x14ac:dyDescent="0.3">
      <c r="B270" s="44" t="s">
        <v>74</v>
      </c>
      <c r="C270" s="45">
        <v>11</v>
      </c>
      <c r="D270" s="126" t="str">
        <f t="shared" si="22"/>
        <v xml:space="preserve"> 55 min</v>
      </c>
      <c r="E270" s="46" t="s">
        <v>92</v>
      </c>
      <c r="F270" s="250"/>
      <c r="G270" s="251"/>
      <c r="H270" s="152"/>
    </row>
    <row r="271" spans="2:8" s="43" customFormat="1" x14ac:dyDescent="0.3">
      <c r="B271" s="44"/>
      <c r="C271" s="45"/>
      <c r="D271" s="126" t="str">
        <f t="shared" si="22"/>
        <v/>
      </c>
      <c r="E271" s="46"/>
      <c r="F271" s="250"/>
      <c r="G271" s="251"/>
      <c r="H271" s="152"/>
    </row>
    <row r="272" spans="2:8" s="43" customFormat="1" x14ac:dyDescent="0.3">
      <c r="B272" s="44"/>
      <c r="C272" s="45"/>
      <c r="D272" s="127" t="str">
        <f t="shared" si="22"/>
        <v/>
      </c>
      <c r="E272" s="46"/>
      <c r="F272" s="250"/>
      <c r="G272" s="251"/>
      <c r="H272" s="152"/>
    </row>
    <row r="273" spans="2:8" s="43" customFormat="1" x14ac:dyDescent="0.3">
      <c r="B273" s="44"/>
      <c r="C273" s="45"/>
      <c r="D273" s="127" t="str">
        <f t="shared" si="22"/>
        <v/>
      </c>
      <c r="E273" s="46"/>
      <c r="F273" s="250"/>
      <c r="G273" s="251"/>
      <c r="H273" s="152"/>
    </row>
    <row r="274" spans="2:8" s="43" customFormat="1" x14ac:dyDescent="0.3">
      <c r="B274" s="44"/>
      <c r="C274" s="45"/>
      <c r="D274" s="127" t="str">
        <f t="shared" si="22"/>
        <v/>
      </c>
      <c r="E274" s="46"/>
      <c r="F274" s="250"/>
      <c r="G274" s="251"/>
      <c r="H274" s="152"/>
    </row>
    <row r="275" spans="2:8" s="43" customFormat="1" ht="15" thickBot="1" x14ac:dyDescent="0.35">
      <c r="B275" s="44" t="s">
        <v>53</v>
      </c>
      <c r="C275" s="45">
        <v>1</v>
      </c>
      <c r="D275" s="128" t="str">
        <f t="shared" si="22"/>
        <v xml:space="preserve"> 5 min</v>
      </c>
      <c r="E275" s="48" t="s">
        <v>86</v>
      </c>
      <c r="F275" s="254"/>
      <c r="G275" s="255"/>
      <c r="H275" s="152"/>
    </row>
    <row r="276" spans="2:8" s="43" customFormat="1" ht="15" thickBot="1" x14ac:dyDescent="0.35">
      <c r="B276" s="86" t="s">
        <v>64</v>
      </c>
      <c r="C276" s="67">
        <f>SUM(C268:C275)</f>
        <v>48</v>
      </c>
      <c r="D276" s="86" t="str">
        <f xml:space="preserve"> setValueToTime(C276)</f>
        <v>4h</v>
      </c>
      <c r="E276" s="95"/>
      <c r="F276" s="252"/>
      <c r="G276" s="253"/>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45782</v>
      </c>
      <c r="G278" s="101" t="s">
        <v>79</v>
      </c>
      <c r="H278" s="151"/>
    </row>
    <row r="279" spans="2:8" s="39" customFormat="1" ht="30" customHeight="1" thickBot="1" x14ac:dyDescent="0.3">
      <c r="B279" s="63" t="s">
        <v>59</v>
      </c>
      <c r="C279" s="123" t="s">
        <v>60</v>
      </c>
      <c r="D279" s="124"/>
      <c r="E279" s="63" t="s">
        <v>61</v>
      </c>
      <c r="F279" s="246" t="s">
        <v>62</v>
      </c>
      <c r="G279" s="247"/>
      <c r="H279" s="151"/>
    </row>
    <row r="280" spans="2:8" s="43" customFormat="1" ht="40.5" x14ac:dyDescent="0.3">
      <c r="B280" s="44" t="s">
        <v>71</v>
      </c>
      <c r="C280" s="45">
        <v>12</v>
      </c>
      <c r="D280" s="125" t="str">
        <f xml:space="preserve"> IF(C280="","",setValueToTime(C280))</f>
        <v>1h</v>
      </c>
      <c r="E280" s="42" t="s">
        <v>145</v>
      </c>
      <c r="F280" s="248"/>
      <c r="G280" s="249"/>
      <c r="H280" s="152"/>
    </row>
    <row r="281" spans="2:8" s="43" customFormat="1" x14ac:dyDescent="0.3">
      <c r="B281" s="44" t="s">
        <v>54</v>
      </c>
      <c r="C281" s="45">
        <v>9</v>
      </c>
      <c r="D281" s="126" t="str">
        <f t="shared" ref="D281:D287" si="23" xml:space="preserve"> IF(C281="","",setValueToTime(C281))</f>
        <v xml:space="preserve"> 45 min</v>
      </c>
      <c r="E281" s="201" t="s">
        <v>149</v>
      </c>
      <c r="F281" s="250"/>
      <c r="G281" s="251"/>
      <c r="H281" s="152"/>
    </row>
    <row r="282" spans="2:8" s="43" customFormat="1" x14ac:dyDescent="0.3">
      <c r="B282" s="44" t="s">
        <v>88</v>
      </c>
      <c r="C282" s="45">
        <v>7</v>
      </c>
      <c r="D282" s="126" t="str">
        <f t="shared" si="23"/>
        <v xml:space="preserve"> 35 min</v>
      </c>
      <c r="E282" s="46" t="s">
        <v>90</v>
      </c>
      <c r="F282" s="250"/>
      <c r="G282" s="251"/>
      <c r="H282" s="152"/>
    </row>
    <row r="283" spans="2:8" s="43" customFormat="1" x14ac:dyDescent="0.3">
      <c r="B283" s="44"/>
      <c r="C283" s="45"/>
      <c r="D283" s="126" t="str">
        <f t="shared" si="23"/>
        <v/>
      </c>
      <c r="E283" s="46"/>
      <c r="F283" s="250"/>
      <c r="G283" s="251"/>
      <c r="H283" s="152"/>
    </row>
    <row r="284" spans="2:8" s="43" customFormat="1" x14ac:dyDescent="0.3">
      <c r="B284" s="44"/>
      <c r="C284" s="45"/>
      <c r="D284" s="127" t="str">
        <f t="shared" si="23"/>
        <v/>
      </c>
      <c r="E284" s="46"/>
      <c r="F284" s="250"/>
      <c r="G284" s="251"/>
      <c r="H284" s="152"/>
    </row>
    <row r="285" spans="2:8" s="43" customFormat="1" x14ac:dyDescent="0.3">
      <c r="B285" s="44"/>
      <c r="C285" s="45"/>
      <c r="D285" s="127" t="str">
        <f t="shared" si="23"/>
        <v/>
      </c>
      <c r="E285" s="46"/>
      <c r="F285" s="250"/>
      <c r="G285" s="251"/>
      <c r="H285" s="152"/>
    </row>
    <row r="286" spans="2:8" s="43" customFormat="1" x14ac:dyDescent="0.3">
      <c r="B286" s="44"/>
      <c r="C286" s="45"/>
      <c r="D286" s="127" t="str">
        <f t="shared" si="23"/>
        <v/>
      </c>
      <c r="E286" s="46"/>
      <c r="F286" s="250"/>
      <c r="G286" s="251"/>
      <c r="H286" s="152"/>
    </row>
    <row r="287" spans="2:8" s="43" customFormat="1" ht="15" thickBot="1" x14ac:dyDescent="0.35">
      <c r="B287" s="44" t="s">
        <v>53</v>
      </c>
      <c r="C287" s="45">
        <v>1</v>
      </c>
      <c r="D287" s="128" t="str">
        <f t="shared" si="23"/>
        <v xml:space="preserve"> 5 min</v>
      </c>
      <c r="E287" s="46"/>
      <c r="F287" s="254"/>
      <c r="G287" s="255"/>
      <c r="H287" s="152"/>
    </row>
    <row r="288" spans="2:8" s="43" customFormat="1" ht="15" thickBot="1" x14ac:dyDescent="0.35">
      <c r="B288" s="86" t="s">
        <v>64</v>
      </c>
      <c r="C288" s="67">
        <f>SUM(C280:C287)</f>
        <v>29</v>
      </c>
      <c r="D288" s="86" t="str">
        <f xml:space="preserve"> setValueToTime(C288)</f>
        <v>2h 25 min</v>
      </c>
      <c r="E288" s="48" t="s">
        <v>86</v>
      </c>
      <c r="F288" s="252"/>
      <c r="G288" s="253"/>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45782</v>
      </c>
      <c r="G290" s="101" t="s">
        <v>78</v>
      </c>
      <c r="H290" s="151"/>
    </row>
    <row r="291" spans="2:8" s="39" customFormat="1" ht="30" customHeight="1" thickBot="1" x14ac:dyDescent="0.3">
      <c r="B291" s="63" t="s">
        <v>59</v>
      </c>
      <c r="C291" s="123" t="s">
        <v>60</v>
      </c>
      <c r="D291" s="124"/>
      <c r="E291" s="63" t="s">
        <v>61</v>
      </c>
      <c r="F291" s="246" t="s">
        <v>62</v>
      </c>
      <c r="G291" s="247"/>
      <c r="H291" s="151"/>
    </row>
    <row r="292" spans="2:8" s="43" customFormat="1" ht="27" x14ac:dyDescent="0.3">
      <c r="B292" s="40" t="s">
        <v>81</v>
      </c>
      <c r="C292" s="41">
        <v>10</v>
      </c>
      <c r="D292" s="125" t="str">
        <f xml:space="preserve"> IF(C292="","",setValueToTime(C292))</f>
        <v xml:space="preserve"> 50 min</v>
      </c>
      <c r="E292" s="200" t="s">
        <v>148</v>
      </c>
      <c r="F292" s="248"/>
      <c r="G292" s="249"/>
      <c r="H292" s="152"/>
    </row>
    <row r="293" spans="2:8" s="43" customFormat="1" x14ac:dyDescent="0.3">
      <c r="B293" s="44" t="s">
        <v>54</v>
      </c>
      <c r="C293" s="45">
        <v>7</v>
      </c>
      <c r="D293" s="126" t="str">
        <f t="shared" ref="D293:D299" si="24" xml:space="preserve"> IF(C293="","",setValueToTime(C293))</f>
        <v xml:space="preserve"> 35 min</v>
      </c>
      <c r="E293" s="201" t="s">
        <v>147</v>
      </c>
      <c r="F293" s="250"/>
      <c r="G293" s="251"/>
      <c r="H293" s="152"/>
    </row>
    <row r="294" spans="2:8" s="43" customFormat="1" ht="40.5" x14ac:dyDescent="0.3">
      <c r="B294" s="44" t="s">
        <v>71</v>
      </c>
      <c r="C294" s="45">
        <v>15</v>
      </c>
      <c r="D294" s="126" t="str">
        <f t="shared" si="24"/>
        <v>1h 15 min</v>
      </c>
      <c r="E294" s="201" t="s">
        <v>145</v>
      </c>
      <c r="F294" s="250"/>
      <c r="G294" s="251"/>
      <c r="H294" s="152"/>
    </row>
    <row r="295" spans="2:8" s="43" customFormat="1" ht="40.5" x14ac:dyDescent="0.3">
      <c r="B295" s="44" t="s">
        <v>80</v>
      </c>
      <c r="C295" s="45">
        <v>5</v>
      </c>
      <c r="D295" s="126" t="str">
        <f t="shared" si="24"/>
        <v xml:space="preserve"> 25 min</v>
      </c>
      <c r="E295" s="46" t="s">
        <v>144</v>
      </c>
      <c r="F295" s="250"/>
      <c r="G295" s="251"/>
      <c r="H295" s="152"/>
    </row>
    <row r="296" spans="2:8" s="43" customFormat="1" x14ac:dyDescent="0.3">
      <c r="B296" s="44"/>
      <c r="C296" s="45"/>
      <c r="D296" s="127" t="str">
        <f t="shared" si="24"/>
        <v/>
      </c>
      <c r="E296" s="46"/>
      <c r="F296" s="250"/>
      <c r="G296" s="251"/>
      <c r="H296" s="152"/>
    </row>
    <row r="297" spans="2:8" s="43" customFormat="1" x14ac:dyDescent="0.3">
      <c r="B297" s="44"/>
      <c r="C297" s="45"/>
      <c r="D297" s="127" t="str">
        <f t="shared" si="24"/>
        <v/>
      </c>
      <c r="E297" s="46"/>
      <c r="F297" s="250"/>
      <c r="G297" s="251"/>
      <c r="H297" s="152"/>
    </row>
    <row r="298" spans="2:8" s="43" customFormat="1" x14ac:dyDescent="0.3">
      <c r="B298" s="44"/>
      <c r="C298" s="45"/>
      <c r="D298" s="127" t="str">
        <f t="shared" si="24"/>
        <v/>
      </c>
      <c r="E298" s="46"/>
      <c r="F298" s="250"/>
      <c r="G298" s="251"/>
      <c r="H298" s="152"/>
    </row>
    <row r="299" spans="2:8" s="43" customFormat="1" ht="15" thickBot="1" x14ac:dyDescent="0.35">
      <c r="B299" s="44" t="s">
        <v>53</v>
      </c>
      <c r="C299" s="45">
        <v>1</v>
      </c>
      <c r="D299" s="128" t="str">
        <f t="shared" si="24"/>
        <v xml:space="preserve"> 5 min</v>
      </c>
      <c r="E299" s="48" t="s">
        <v>86</v>
      </c>
      <c r="F299" s="254"/>
      <c r="G299" s="255"/>
      <c r="H299" s="152"/>
    </row>
    <row r="300" spans="2:8" s="43" customFormat="1" ht="15" thickBot="1" x14ac:dyDescent="0.35">
      <c r="B300" s="86" t="s">
        <v>64</v>
      </c>
      <c r="C300" s="67">
        <f>SUM(C292:C299)</f>
        <v>38</v>
      </c>
      <c r="D300" s="86" t="str">
        <f xml:space="preserve"> setValueToTime(C300)</f>
        <v>3h 10 min</v>
      </c>
      <c r="E300" s="95"/>
      <c r="F300" s="252"/>
      <c r="G300" s="253"/>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45779</v>
      </c>
      <c r="G302" s="101" t="s">
        <v>79</v>
      </c>
      <c r="H302" s="151"/>
    </row>
    <row r="303" spans="2:8" s="39" customFormat="1" ht="30" customHeight="1" thickBot="1" x14ac:dyDescent="0.3">
      <c r="B303" s="63" t="s">
        <v>59</v>
      </c>
      <c r="C303" s="123" t="s">
        <v>60</v>
      </c>
      <c r="D303" s="124"/>
      <c r="E303" s="63" t="s">
        <v>61</v>
      </c>
      <c r="F303" s="246" t="s">
        <v>62</v>
      </c>
      <c r="G303" s="247"/>
      <c r="H303" s="151"/>
    </row>
    <row r="304" spans="2:8" s="43" customFormat="1" x14ac:dyDescent="0.3">
      <c r="B304" s="40" t="s">
        <v>96</v>
      </c>
      <c r="C304" s="41">
        <v>5</v>
      </c>
      <c r="D304" s="125" t="str">
        <f xml:space="preserve"> IF(C304="","",setValueToTime(C304))</f>
        <v xml:space="preserve"> 25 min</v>
      </c>
      <c r="E304" s="201" t="s">
        <v>97</v>
      </c>
      <c r="F304" s="248"/>
      <c r="G304" s="249"/>
      <c r="H304" s="152"/>
    </row>
    <row r="305" spans="2:8" s="43" customFormat="1" x14ac:dyDescent="0.3">
      <c r="B305" s="44" t="s">
        <v>52</v>
      </c>
      <c r="C305" s="45">
        <v>33</v>
      </c>
      <c r="D305" s="126" t="str">
        <f t="shared" ref="D305:D311" si="25" xml:space="preserve"> IF(C305="","",setValueToTime(C305))</f>
        <v>2h 45 min</v>
      </c>
      <c r="E305" s="46" t="s">
        <v>84</v>
      </c>
      <c r="F305" s="250"/>
      <c r="G305" s="251"/>
      <c r="H305" s="152"/>
    </row>
    <row r="306" spans="2:8" s="43" customFormat="1" x14ac:dyDescent="0.3">
      <c r="B306" s="44"/>
      <c r="C306" s="45"/>
      <c r="D306" s="126" t="str">
        <f t="shared" si="25"/>
        <v/>
      </c>
      <c r="E306" s="46"/>
      <c r="F306" s="250"/>
      <c r="G306" s="251"/>
      <c r="H306" s="152"/>
    </row>
    <row r="307" spans="2:8" s="43" customFormat="1" x14ac:dyDescent="0.3">
      <c r="B307" s="44"/>
      <c r="C307" s="45"/>
      <c r="D307" s="126" t="str">
        <f t="shared" si="25"/>
        <v/>
      </c>
      <c r="E307" s="46"/>
      <c r="F307" s="250"/>
      <c r="G307" s="251"/>
      <c r="H307" s="152"/>
    </row>
    <row r="308" spans="2:8" s="43" customFormat="1" x14ac:dyDescent="0.3">
      <c r="B308" s="44"/>
      <c r="C308" s="45"/>
      <c r="D308" s="127" t="str">
        <f t="shared" si="25"/>
        <v/>
      </c>
      <c r="E308" s="46"/>
      <c r="F308" s="250"/>
      <c r="G308" s="251"/>
      <c r="H308" s="152"/>
    </row>
    <row r="309" spans="2:8" s="43" customFormat="1" x14ac:dyDescent="0.3">
      <c r="B309" s="44"/>
      <c r="C309" s="45"/>
      <c r="D309" s="127" t="str">
        <f t="shared" si="25"/>
        <v/>
      </c>
      <c r="E309" s="46"/>
      <c r="F309" s="250"/>
      <c r="G309" s="251"/>
      <c r="H309" s="152"/>
    </row>
    <row r="310" spans="2:8" s="43" customFormat="1" x14ac:dyDescent="0.3">
      <c r="B310" s="44"/>
      <c r="C310" s="45"/>
      <c r="D310" s="127" t="str">
        <f t="shared" si="25"/>
        <v/>
      </c>
      <c r="E310" s="46"/>
      <c r="F310" s="250"/>
      <c r="G310" s="251"/>
      <c r="H310" s="152"/>
    </row>
    <row r="311" spans="2:8" s="43" customFormat="1" ht="15" thickBot="1" x14ac:dyDescent="0.35">
      <c r="B311" s="44"/>
      <c r="C311" s="47"/>
      <c r="D311" s="128" t="str">
        <f t="shared" si="25"/>
        <v/>
      </c>
      <c r="E311" s="48"/>
      <c r="F311" s="254"/>
      <c r="G311" s="255"/>
      <c r="H311" s="152"/>
    </row>
    <row r="312" spans="2:8" s="43" customFormat="1" ht="15" thickBot="1" x14ac:dyDescent="0.35">
      <c r="B312" s="86" t="s">
        <v>64</v>
      </c>
      <c r="C312" s="67">
        <f>SUM(C304:C311)</f>
        <v>38</v>
      </c>
      <c r="D312" s="86" t="str">
        <f xml:space="preserve"> setValueToTime(C312)</f>
        <v>3h 10 min</v>
      </c>
      <c r="E312" s="95"/>
      <c r="F312" s="252"/>
      <c r="G312" s="253"/>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45779</v>
      </c>
      <c r="G314" s="101" t="s">
        <v>78</v>
      </c>
      <c r="H314" s="151"/>
    </row>
    <row r="315" spans="2:8" s="39" customFormat="1" ht="30" customHeight="1" thickBot="1" x14ac:dyDescent="0.3">
      <c r="B315" s="63" t="s">
        <v>59</v>
      </c>
      <c r="C315" s="123" t="s">
        <v>60</v>
      </c>
      <c r="D315" s="124"/>
      <c r="E315" s="63" t="s">
        <v>61</v>
      </c>
      <c r="F315" s="246" t="s">
        <v>62</v>
      </c>
      <c r="G315" s="247"/>
      <c r="H315" s="151"/>
    </row>
    <row r="316" spans="2:8" s="43" customFormat="1" x14ac:dyDescent="0.3">
      <c r="B316" s="40" t="s">
        <v>69</v>
      </c>
      <c r="C316" s="41">
        <v>6</v>
      </c>
      <c r="D316" s="125" t="str">
        <f xml:space="preserve"> IF(C316="","",setValueToTime(C316))</f>
        <v xml:space="preserve"> 30 min</v>
      </c>
      <c r="E316" s="42" t="s">
        <v>83</v>
      </c>
      <c r="F316" s="248"/>
      <c r="G316" s="249"/>
      <c r="H316" s="152"/>
    </row>
    <row r="317" spans="2:8" s="43" customFormat="1" x14ac:dyDescent="0.3">
      <c r="B317" s="44" t="s">
        <v>96</v>
      </c>
      <c r="C317" s="45">
        <v>5</v>
      </c>
      <c r="D317" s="126" t="str">
        <f t="shared" ref="D317:D323" si="26" xml:space="preserve"> IF(C317="","",setValueToTime(C317))</f>
        <v xml:space="preserve"> 25 min</v>
      </c>
      <c r="E317" s="46" t="s">
        <v>97</v>
      </c>
      <c r="F317" s="250"/>
      <c r="G317" s="251"/>
      <c r="H317" s="152"/>
    </row>
    <row r="318" spans="2:8" s="43" customFormat="1" x14ac:dyDescent="0.3">
      <c r="B318" s="44" t="s">
        <v>70</v>
      </c>
      <c r="C318" s="45">
        <v>3</v>
      </c>
      <c r="D318" s="126" t="str">
        <f t="shared" si="26"/>
        <v xml:space="preserve"> 15 min</v>
      </c>
      <c r="E318" s="46" t="s">
        <v>155</v>
      </c>
      <c r="F318" s="250"/>
      <c r="G318" s="251"/>
      <c r="H318" s="152"/>
    </row>
    <row r="319" spans="2:8" s="43" customFormat="1" x14ac:dyDescent="0.3">
      <c r="B319" s="44" t="s">
        <v>52</v>
      </c>
      <c r="C319" s="45">
        <v>34</v>
      </c>
      <c r="D319" s="126" t="str">
        <f t="shared" si="26"/>
        <v>2h 50 min</v>
      </c>
      <c r="E319" s="46" t="s">
        <v>84</v>
      </c>
      <c r="F319" s="250"/>
      <c r="G319" s="251"/>
      <c r="H319" s="152"/>
    </row>
    <row r="320" spans="2:8" s="43" customFormat="1" x14ac:dyDescent="0.3">
      <c r="B320" s="44"/>
      <c r="C320" s="45"/>
      <c r="D320" s="127" t="str">
        <f t="shared" si="26"/>
        <v/>
      </c>
      <c r="E320" s="46"/>
      <c r="F320" s="250"/>
      <c r="G320" s="251"/>
      <c r="H320" s="152"/>
    </row>
    <row r="321" spans="2:8" s="43" customFormat="1" x14ac:dyDescent="0.3">
      <c r="B321" s="44"/>
      <c r="C321" s="45"/>
      <c r="D321" s="127" t="str">
        <f t="shared" si="26"/>
        <v/>
      </c>
      <c r="E321" s="46"/>
      <c r="F321" s="250"/>
      <c r="G321" s="251"/>
      <c r="H321" s="152"/>
    </row>
    <row r="322" spans="2:8" s="43" customFormat="1" x14ac:dyDescent="0.3">
      <c r="B322" s="44"/>
      <c r="C322" s="45"/>
      <c r="D322" s="127" t="str">
        <f t="shared" si="26"/>
        <v/>
      </c>
      <c r="E322" s="46"/>
      <c r="F322" s="250"/>
      <c r="G322" s="251"/>
      <c r="H322" s="152"/>
    </row>
    <row r="323" spans="2:8" s="43" customFormat="1" ht="15" thickBot="1" x14ac:dyDescent="0.35">
      <c r="B323" s="44"/>
      <c r="C323" s="47"/>
      <c r="D323" s="128" t="str">
        <f t="shared" si="26"/>
        <v/>
      </c>
      <c r="E323" s="48"/>
      <c r="F323" s="254"/>
      <c r="G323" s="255"/>
      <c r="H323" s="152"/>
    </row>
    <row r="324" spans="2:8" s="43" customFormat="1" ht="15" thickBot="1" x14ac:dyDescent="0.35">
      <c r="B324" s="86" t="s">
        <v>64</v>
      </c>
      <c r="C324" s="67">
        <f>SUM(C316:C323)</f>
        <v>48</v>
      </c>
      <c r="D324" s="86" t="str">
        <f xml:space="preserve"> setValueToTime(C324)</f>
        <v>4h</v>
      </c>
      <c r="E324" s="95"/>
      <c r="F324" s="252"/>
      <c r="G324" s="253"/>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1" priority="27" operator="greaterThan">
      <formula>60</formula>
    </cfRule>
  </conditionalFormatting>
  <conditionalFormatting sqref="C312">
    <cfRule type="cellIs" dxfId="50" priority="26" operator="greaterThan">
      <formula>60</formula>
    </cfRule>
  </conditionalFormatting>
  <conditionalFormatting sqref="C300">
    <cfRule type="cellIs" dxfId="49" priority="25" operator="greaterThan">
      <formula>60</formula>
    </cfRule>
  </conditionalFormatting>
  <conditionalFormatting sqref="C288">
    <cfRule type="cellIs" dxfId="48" priority="24" operator="greaterThan">
      <formula>60</formula>
    </cfRule>
  </conditionalFormatting>
  <conditionalFormatting sqref="C276">
    <cfRule type="cellIs" dxfId="47" priority="23" operator="greaterThan">
      <formula>60</formula>
    </cfRule>
  </conditionalFormatting>
  <conditionalFormatting sqref="C264">
    <cfRule type="cellIs" dxfId="46" priority="22" operator="greaterThan">
      <formula>60</formula>
    </cfRule>
  </conditionalFormatting>
  <conditionalFormatting sqref="C252">
    <cfRule type="cellIs" dxfId="45" priority="21" operator="greaterThan">
      <formula>60</formula>
    </cfRule>
  </conditionalFormatting>
  <conditionalFormatting sqref="C240">
    <cfRule type="cellIs" dxfId="44" priority="20" operator="greaterThan">
      <formula>60</formula>
    </cfRule>
  </conditionalFormatting>
  <conditionalFormatting sqref="C228">
    <cfRule type="cellIs" dxfId="43" priority="19" operator="greaterThan">
      <formula>60</formula>
    </cfRule>
  </conditionalFormatting>
  <conditionalFormatting sqref="C216">
    <cfRule type="cellIs" dxfId="42" priority="18" operator="greaterThan">
      <formula>60</formula>
    </cfRule>
  </conditionalFormatting>
  <conditionalFormatting sqref="C204">
    <cfRule type="cellIs" dxfId="41" priority="17" operator="greaterThan">
      <formula>60</formula>
    </cfRule>
  </conditionalFormatting>
  <conditionalFormatting sqref="C192">
    <cfRule type="cellIs" dxfId="40" priority="16" operator="greaterThan">
      <formula>60</formula>
    </cfRule>
  </conditionalFormatting>
  <conditionalFormatting sqref="C180">
    <cfRule type="cellIs" dxfId="39" priority="15" operator="greaterThan">
      <formula>60</formula>
    </cfRule>
  </conditionalFormatting>
  <conditionalFormatting sqref="C168">
    <cfRule type="cellIs" dxfId="38" priority="14" operator="greaterThan">
      <formula>60</formula>
    </cfRule>
  </conditionalFormatting>
  <conditionalFormatting sqref="C156">
    <cfRule type="cellIs" dxfId="37" priority="13" operator="greaterThan">
      <formula>60</formula>
    </cfRule>
  </conditionalFormatting>
  <conditionalFormatting sqref="C144">
    <cfRule type="cellIs" dxfId="36" priority="12" operator="greaterThan">
      <formula>60</formula>
    </cfRule>
  </conditionalFormatting>
  <conditionalFormatting sqref="C132">
    <cfRule type="cellIs" dxfId="35" priority="11" operator="greaterThan">
      <formula>60</formula>
    </cfRule>
  </conditionalFormatting>
  <conditionalFormatting sqref="C120">
    <cfRule type="cellIs" dxfId="34" priority="10" operator="greaterThan">
      <formula>60</formula>
    </cfRule>
  </conditionalFormatting>
  <conditionalFormatting sqref="C108">
    <cfRule type="cellIs" dxfId="33" priority="9" operator="greaterThan">
      <formula>60</formula>
    </cfRule>
  </conditionalFormatting>
  <conditionalFormatting sqref="C96">
    <cfRule type="cellIs" dxfId="32" priority="8" operator="greaterThan">
      <formula>60</formula>
    </cfRule>
  </conditionalFormatting>
  <conditionalFormatting sqref="C84">
    <cfRule type="cellIs" dxfId="31" priority="7" operator="greaterThan">
      <formula>60</formula>
    </cfRule>
  </conditionalFormatting>
  <conditionalFormatting sqref="C72">
    <cfRule type="cellIs" dxfId="30" priority="6" operator="greaterThan">
      <formula>60</formula>
    </cfRule>
  </conditionalFormatting>
  <conditionalFormatting sqref="C60">
    <cfRule type="cellIs" dxfId="29" priority="5" operator="greaterThan">
      <formula>60</formula>
    </cfRule>
  </conditionalFormatting>
  <conditionalFormatting sqref="C48">
    <cfRule type="cellIs" dxfId="28" priority="4" operator="greaterThan">
      <formula>60</formula>
    </cfRule>
  </conditionalFormatting>
  <conditionalFormatting sqref="C36">
    <cfRule type="cellIs" dxfId="27" priority="3" operator="greaterThan">
      <formula>60</formula>
    </cfRule>
  </conditionalFormatting>
  <conditionalFormatting sqref="C24">
    <cfRule type="cellIs" dxfId="26" priority="2" operator="greaterThan">
      <formula>60</formula>
    </cfRule>
  </conditionalFormatting>
  <conditionalFormatting sqref="C12">
    <cfRule type="cellIs" dxfId="25"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1AAC5835-E387-4FE7-B196-DB7F061173B4}">
      <formula1>0</formula1>
      <formula2>60</formula2>
    </dataValidation>
    <dataValidation type="whole" operator="greaterThan" allowBlank="1" showInputMessage="1" showErrorMessage="1" errorTitle="Durée par tranche de 10min" error="Le nombre doit être de type entier" sqref="C316:C323 C304:C311 C124:C131 C4:C11 C292:C299 C268:C275 C256:C263 C244:C251 C232:C239 C220:C227 C208:C215 C196:C203 C280:C287 C172:C179 C160:C167 C184:C191 C136:C143 C16:C23 C112:C119 C148:C155 C88:C95 C76:C83 C64:C71 C52:C59 C40:C47 C100:C107 C28:C35" xr:uid="{31832FEB-E27D-4895-A30A-B9CF0B54B54D}">
      <formula1>0</formula1>
    </dataValidation>
  </dataValidations>
  <printOptions horizontalCentered="1" verticalCentered="1"/>
  <pageMargins left="0.25" right="0.25" top="0.75" bottom="0.75" header="0.3" footer="0.3"/>
  <pageSetup paperSize="9" scale="74" fitToHeight="0"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2E0F0206-0366-4F13-BD57-9F7BD62228D1}">
          <x14:formula1>
            <xm:f>OFFSET(Bilan!$B:$B,14,0,COUNTA(Bilan!$C$15:$C$93))</xm:f>
          </x14:formula1>
          <xm:sqref>B316:B323 B304:B311 B124:B131 B4:B11 B268:B275 B280:B287 B232:B239 B220:B227 B208:B215 B16:B23 B244:B251 B172:B179 B160:B167 B184:B191 B136:B143 B196:B203 B112:B119 B148:B155 B88:B95 B100:B107 B64:B71 B52:B59 B40:B47 B76:B83 B256:B263 B292:B299 B28:B35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77"/>
  <sheetViews>
    <sheetView showGridLines="0" tabSelected="1" zoomScaleNormal="100" zoomScaleSheetLayoutView="98" workbookViewId="0">
      <pane ySplit="1" topLeftCell="A252" activePane="bottomLeft" state="frozen"/>
      <selection pane="bottomLeft" activeCell="B2" sqref="B2:G277"/>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23</v>
      </c>
      <c r="D2" s="137"/>
      <c r="E2" s="130" t="s">
        <v>58</v>
      </c>
      <c r="F2" s="131" t="s">
        <v>110</v>
      </c>
      <c r="G2" s="132" t="s">
        <v>79</v>
      </c>
      <c r="H2" s="151"/>
    </row>
    <row r="3" spans="2:8" s="39" customFormat="1" ht="30" customHeight="1" thickBot="1" x14ac:dyDescent="0.3">
      <c r="B3" s="61" t="s">
        <v>59</v>
      </c>
      <c r="C3" s="134" t="s">
        <v>60</v>
      </c>
      <c r="D3" s="133"/>
      <c r="E3" s="61" t="s">
        <v>61</v>
      </c>
      <c r="F3" s="258" t="s">
        <v>62</v>
      </c>
      <c r="G3" s="259"/>
      <c r="H3" s="151"/>
    </row>
    <row r="4" spans="2:8" s="43" customFormat="1" ht="67.5" customHeight="1" x14ac:dyDescent="0.3">
      <c r="B4" s="40" t="s">
        <v>75</v>
      </c>
      <c r="C4" s="41">
        <v>27</v>
      </c>
      <c r="D4" s="125" t="str">
        <f xml:space="preserve"> IF(C4="","",setValueToTime(C4))</f>
        <v>2h 15 min</v>
      </c>
      <c r="E4" s="42" t="s">
        <v>255</v>
      </c>
      <c r="F4" s="260" t="s">
        <v>256</v>
      </c>
      <c r="G4" s="249"/>
      <c r="H4" s="152"/>
    </row>
    <row r="5" spans="2:8" s="43" customFormat="1" x14ac:dyDescent="0.3">
      <c r="B5" s="44" t="s">
        <v>54</v>
      </c>
      <c r="C5" s="45">
        <v>10</v>
      </c>
      <c r="D5" s="126" t="str">
        <f t="shared" ref="D5:D11" si="0" xml:space="preserve"> IF(C5="","",setValueToTime(C5))</f>
        <v xml:space="preserve"> 50 min</v>
      </c>
      <c r="E5" s="46" t="s">
        <v>257</v>
      </c>
      <c r="F5" s="250"/>
      <c r="G5" s="251"/>
      <c r="H5" s="152"/>
    </row>
    <row r="6" spans="2:8" s="43" customFormat="1" ht="27" x14ac:dyDescent="0.3">
      <c r="B6" s="45" t="s">
        <v>53</v>
      </c>
      <c r="C6" s="45">
        <v>1</v>
      </c>
      <c r="D6" s="126" t="str">
        <f t="shared" si="0"/>
        <v xml:space="preserve"> 5 min</v>
      </c>
      <c r="E6" s="46" t="s">
        <v>169</v>
      </c>
      <c r="F6" s="250"/>
      <c r="G6" s="251"/>
      <c r="H6" s="152"/>
    </row>
    <row r="7" spans="2:8" s="43" customFormat="1" x14ac:dyDescent="0.3">
      <c r="B7" s="44"/>
      <c r="C7" s="45"/>
      <c r="D7" s="126" t="str">
        <f t="shared" si="0"/>
        <v/>
      </c>
      <c r="E7" s="46"/>
      <c r="F7" s="250"/>
      <c r="G7" s="251"/>
      <c r="H7" s="152"/>
    </row>
    <row r="8" spans="2:8" s="43" customFormat="1" x14ac:dyDescent="0.3">
      <c r="B8" s="45"/>
      <c r="C8" s="45"/>
      <c r="D8" s="127" t="str">
        <f t="shared" si="0"/>
        <v/>
      </c>
      <c r="E8" s="46"/>
      <c r="F8" s="250"/>
      <c r="G8" s="251"/>
      <c r="H8" s="152"/>
    </row>
    <row r="9" spans="2:8" s="43" customFormat="1" x14ac:dyDescent="0.3">
      <c r="B9" s="45"/>
      <c r="C9" s="45"/>
      <c r="D9" s="127" t="str">
        <f t="shared" si="0"/>
        <v/>
      </c>
      <c r="E9" s="46"/>
      <c r="F9" s="250"/>
      <c r="G9" s="251"/>
      <c r="H9" s="152"/>
    </row>
    <row r="10" spans="2:8" s="43" customFormat="1" x14ac:dyDescent="0.3">
      <c r="B10" s="45"/>
      <c r="C10" s="45"/>
      <c r="D10" s="127" t="str">
        <f t="shared" si="0"/>
        <v/>
      </c>
      <c r="E10" s="46"/>
      <c r="F10" s="250"/>
      <c r="G10" s="251"/>
      <c r="H10" s="152"/>
    </row>
    <row r="11" spans="2:8" s="43" customFormat="1" ht="15" thickBot="1" x14ac:dyDescent="0.35">
      <c r="B11" s="47"/>
      <c r="C11" s="47"/>
      <c r="D11" s="128" t="str">
        <f t="shared" si="0"/>
        <v/>
      </c>
      <c r="E11" s="48"/>
      <c r="F11" s="254"/>
      <c r="G11" s="255"/>
      <c r="H11" s="152"/>
    </row>
    <row r="12" spans="2:8" s="43" customFormat="1" ht="15" thickBot="1" x14ac:dyDescent="0.35">
      <c r="B12" s="135" t="s">
        <v>64</v>
      </c>
      <c r="C12" s="66">
        <f>SUM(C4:C11)</f>
        <v>38</v>
      </c>
      <c r="D12" s="135" t="str">
        <f xml:space="preserve"> setValueToTime(C12)</f>
        <v>3h 10 min</v>
      </c>
      <c r="E12" s="96"/>
      <c r="F12" s="256"/>
      <c r="G12" s="25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22</v>
      </c>
      <c r="D14" s="137"/>
      <c r="E14" s="130" t="s">
        <v>58</v>
      </c>
      <c r="F14" s="131" t="s">
        <v>110</v>
      </c>
      <c r="G14" s="132" t="s">
        <v>78</v>
      </c>
      <c r="H14" s="151"/>
    </row>
    <row r="15" spans="2:8" s="39" customFormat="1" ht="30" customHeight="1" thickBot="1" x14ac:dyDescent="0.3">
      <c r="B15" s="61" t="s">
        <v>59</v>
      </c>
      <c r="C15" s="134" t="s">
        <v>60</v>
      </c>
      <c r="D15" s="133"/>
      <c r="E15" s="61" t="s">
        <v>61</v>
      </c>
      <c r="F15" s="258" t="s">
        <v>62</v>
      </c>
      <c r="G15" s="259"/>
      <c r="H15" s="151"/>
    </row>
    <row r="16" spans="2:8" s="43" customFormat="1" x14ac:dyDescent="0.3">
      <c r="B16" s="40" t="s">
        <v>54</v>
      </c>
      <c r="C16" s="41">
        <v>6</v>
      </c>
      <c r="D16" s="125" t="str">
        <f xml:space="preserve"> IF(C16="","",setValueToTime(C16))</f>
        <v xml:space="preserve"> 30 min</v>
      </c>
      <c r="E16" s="42" t="s">
        <v>254</v>
      </c>
      <c r="F16" s="248"/>
      <c r="G16" s="249"/>
      <c r="H16" s="152"/>
    </row>
    <row r="17" spans="2:8" s="43" customFormat="1" ht="33" customHeight="1" x14ac:dyDescent="0.3">
      <c r="B17" s="44" t="s">
        <v>76</v>
      </c>
      <c r="C17" s="45">
        <v>14</v>
      </c>
      <c r="D17" s="126" t="str">
        <f t="shared" ref="D17:D23" si="1" xml:space="preserve"> IF(C17="","",setValueToTime(C17))</f>
        <v>1h 10 min</v>
      </c>
      <c r="E17" s="46" t="s">
        <v>253</v>
      </c>
      <c r="F17" s="261" t="s">
        <v>248</v>
      </c>
      <c r="G17" s="251"/>
      <c r="H17" s="152"/>
    </row>
    <row r="18" spans="2:8" s="43" customFormat="1" ht="54" x14ac:dyDescent="0.3">
      <c r="B18" s="44" t="s">
        <v>70</v>
      </c>
      <c r="C18" s="45">
        <v>6</v>
      </c>
      <c r="D18" s="126" t="str">
        <f t="shared" si="1"/>
        <v xml:space="preserve"> 30 min</v>
      </c>
      <c r="E18" s="46" t="s">
        <v>251</v>
      </c>
      <c r="F18" s="261" t="s">
        <v>252</v>
      </c>
      <c r="G18" s="251"/>
      <c r="H18" s="152"/>
    </row>
    <row r="19" spans="2:8" s="43" customFormat="1" x14ac:dyDescent="0.3">
      <c r="B19" s="44"/>
      <c r="C19" s="45">
        <v>21</v>
      </c>
      <c r="D19" s="126" t="str">
        <f t="shared" si="1"/>
        <v>1h 45 min</v>
      </c>
      <c r="E19" s="46" t="s">
        <v>253</v>
      </c>
      <c r="F19" s="250"/>
      <c r="G19" s="251"/>
      <c r="H19" s="152"/>
    </row>
    <row r="20" spans="2:8" s="43" customFormat="1" ht="27" x14ac:dyDescent="0.3">
      <c r="B20" s="45" t="s">
        <v>53</v>
      </c>
      <c r="C20" s="45">
        <v>1</v>
      </c>
      <c r="D20" s="127" t="str">
        <f t="shared" si="1"/>
        <v xml:space="preserve"> 5 min</v>
      </c>
      <c r="E20" s="46" t="s">
        <v>169</v>
      </c>
      <c r="F20" s="250"/>
      <c r="G20" s="251"/>
      <c r="H20" s="152"/>
    </row>
    <row r="21" spans="2:8" s="43" customFormat="1" x14ac:dyDescent="0.3">
      <c r="B21" s="45"/>
      <c r="C21" s="45"/>
      <c r="D21" s="127" t="str">
        <f t="shared" si="1"/>
        <v/>
      </c>
      <c r="E21" s="46"/>
      <c r="F21" s="250"/>
      <c r="G21" s="251"/>
      <c r="H21" s="152"/>
    </row>
    <row r="22" spans="2:8" s="43" customFormat="1" x14ac:dyDescent="0.3">
      <c r="B22" s="45"/>
      <c r="C22" s="45"/>
      <c r="D22" s="127" t="str">
        <f t="shared" si="1"/>
        <v/>
      </c>
      <c r="E22" s="46"/>
      <c r="F22" s="250"/>
      <c r="G22" s="251"/>
      <c r="H22" s="152"/>
    </row>
    <row r="23" spans="2:8" s="43" customFormat="1" ht="15" thickBot="1" x14ac:dyDescent="0.35">
      <c r="B23" s="47"/>
      <c r="C23" s="47"/>
      <c r="D23" s="128" t="str">
        <f t="shared" si="1"/>
        <v/>
      </c>
      <c r="E23" s="48"/>
      <c r="F23" s="254"/>
      <c r="G23" s="255"/>
      <c r="H23" s="152"/>
    </row>
    <row r="24" spans="2:8" s="43" customFormat="1" ht="15" thickBot="1" x14ac:dyDescent="0.35">
      <c r="B24" s="135" t="s">
        <v>64</v>
      </c>
      <c r="C24" s="66">
        <f>SUM(C16:C23)</f>
        <v>48</v>
      </c>
      <c r="D24" s="135" t="str">
        <f xml:space="preserve"> setValueToTime(C24)</f>
        <v>4h</v>
      </c>
      <c r="E24" s="96"/>
      <c r="F24" s="256"/>
      <c r="G24" s="25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21</v>
      </c>
      <c r="D26" s="137"/>
      <c r="E26" s="130" t="s">
        <v>58</v>
      </c>
      <c r="F26" s="131" t="s">
        <v>111</v>
      </c>
      <c r="G26" s="132" t="s">
        <v>79</v>
      </c>
      <c r="H26" s="151"/>
    </row>
    <row r="27" spans="2:8" s="39" customFormat="1" ht="30" customHeight="1" thickBot="1" x14ac:dyDescent="0.3">
      <c r="B27" s="61" t="s">
        <v>59</v>
      </c>
      <c r="C27" s="134" t="s">
        <v>60</v>
      </c>
      <c r="D27" s="133"/>
      <c r="E27" s="61" t="s">
        <v>61</v>
      </c>
      <c r="F27" s="258" t="s">
        <v>62</v>
      </c>
      <c r="G27" s="259"/>
      <c r="H27" s="151"/>
    </row>
    <row r="28" spans="2:8" s="43" customFormat="1" ht="81" x14ac:dyDescent="0.3">
      <c r="B28" s="40" t="s">
        <v>102</v>
      </c>
      <c r="C28" s="41">
        <v>10</v>
      </c>
      <c r="D28" s="125" t="str">
        <f xml:space="preserve"> IF(C28="","",setValueToTime(C28))</f>
        <v xml:space="preserve"> 50 min</v>
      </c>
      <c r="E28" s="42" t="s">
        <v>241</v>
      </c>
      <c r="F28" s="260" t="s">
        <v>243</v>
      </c>
      <c r="G28" s="249"/>
      <c r="H28" s="152"/>
    </row>
    <row r="29" spans="2:8" s="43" customFormat="1" ht="27" x14ac:dyDescent="0.3">
      <c r="B29" s="44" t="s">
        <v>102</v>
      </c>
      <c r="C29" s="45">
        <v>1</v>
      </c>
      <c r="D29" s="126" t="str">
        <f t="shared" ref="D29:D35" si="2" xml:space="preserve"> IF(C29="","",setValueToTime(C29))</f>
        <v xml:space="preserve"> 5 min</v>
      </c>
      <c r="E29" s="46" t="s">
        <v>242</v>
      </c>
      <c r="F29" s="250"/>
      <c r="G29" s="251"/>
      <c r="H29" s="152"/>
    </row>
    <row r="30" spans="2:8" s="43" customFormat="1" ht="90.75" customHeight="1" x14ac:dyDescent="0.3">
      <c r="B30" s="44" t="s">
        <v>75</v>
      </c>
      <c r="C30" s="45">
        <v>20</v>
      </c>
      <c r="D30" s="126" t="str">
        <f t="shared" si="2"/>
        <v>1h 40 min</v>
      </c>
      <c r="E30" s="46" t="s">
        <v>245</v>
      </c>
      <c r="F30" s="261" t="s">
        <v>247</v>
      </c>
      <c r="G30" s="251"/>
      <c r="H30" s="152"/>
    </row>
    <row r="31" spans="2:8" s="43" customFormat="1" ht="27" x14ac:dyDescent="0.3">
      <c r="B31" s="44" t="s">
        <v>71</v>
      </c>
      <c r="C31" s="45">
        <v>6</v>
      </c>
      <c r="D31" s="126" t="str">
        <f t="shared" si="2"/>
        <v xml:space="preserve"> 30 min</v>
      </c>
      <c r="E31" s="46" t="s">
        <v>244</v>
      </c>
      <c r="F31" s="261" t="s">
        <v>246</v>
      </c>
      <c r="G31" s="251"/>
      <c r="H31" s="152"/>
    </row>
    <row r="32" spans="2:8" s="43" customFormat="1" ht="27" x14ac:dyDescent="0.3">
      <c r="B32" s="45" t="s">
        <v>53</v>
      </c>
      <c r="C32" s="45">
        <v>1</v>
      </c>
      <c r="D32" s="127" t="str">
        <f t="shared" si="2"/>
        <v xml:space="preserve"> 5 min</v>
      </c>
      <c r="E32" s="46" t="s">
        <v>169</v>
      </c>
      <c r="F32" s="250"/>
      <c r="G32" s="251"/>
      <c r="H32" s="152"/>
    </row>
    <row r="33" spans="2:8" s="43" customFormat="1" x14ac:dyDescent="0.3">
      <c r="B33" s="45"/>
      <c r="C33" s="45"/>
      <c r="D33" s="127" t="str">
        <f t="shared" si="2"/>
        <v/>
      </c>
      <c r="E33" s="46"/>
      <c r="F33" s="250"/>
      <c r="G33" s="251"/>
      <c r="H33" s="152"/>
    </row>
    <row r="34" spans="2:8" s="43" customFormat="1" x14ac:dyDescent="0.3">
      <c r="B34" s="45"/>
      <c r="C34" s="45"/>
      <c r="D34" s="127" t="str">
        <f t="shared" si="2"/>
        <v/>
      </c>
      <c r="E34" s="46"/>
      <c r="F34" s="250"/>
      <c r="G34" s="251"/>
      <c r="H34" s="152"/>
    </row>
    <row r="35" spans="2:8" s="43" customFormat="1" ht="15" thickBot="1" x14ac:dyDescent="0.35">
      <c r="B35" s="47"/>
      <c r="C35" s="47"/>
      <c r="D35" s="128" t="str">
        <f t="shared" si="2"/>
        <v/>
      </c>
      <c r="E35" s="48"/>
      <c r="F35" s="254"/>
      <c r="G35" s="255"/>
      <c r="H35" s="152"/>
    </row>
    <row r="36" spans="2:8" s="43" customFormat="1" ht="15" thickBot="1" x14ac:dyDescent="0.35">
      <c r="B36" s="135" t="s">
        <v>64</v>
      </c>
      <c r="C36" s="66">
        <f>SUM(C28:C35)</f>
        <v>38</v>
      </c>
      <c r="D36" s="135" t="str">
        <f xml:space="preserve"> setValueToTime(C36)</f>
        <v>3h 10 min</v>
      </c>
      <c r="E36" s="96"/>
      <c r="F36" s="256"/>
      <c r="G36" s="25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20</v>
      </c>
      <c r="D38" s="137"/>
      <c r="E38" s="130" t="s">
        <v>58</v>
      </c>
      <c r="F38" s="131" t="s">
        <v>112</v>
      </c>
      <c r="G38" s="132" t="s">
        <v>79</v>
      </c>
      <c r="H38" s="151"/>
    </row>
    <row r="39" spans="2:8" s="39" customFormat="1" ht="30" customHeight="1" thickBot="1" x14ac:dyDescent="0.3">
      <c r="B39" s="61" t="s">
        <v>59</v>
      </c>
      <c r="C39" s="134" t="s">
        <v>60</v>
      </c>
      <c r="D39" s="133"/>
      <c r="E39" s="61" t="s">
        <v>61</v>
      </c>
      <c r="F39" s="258" t="s">
        <v>62</v>
      </c>
      <c r="G39" s="259"/>
      <c r="H39" s="151"/>
    </row>
    <row r="40" spans="2:8" s="43" customFormat="1" ht="40.5" x14ac:dyDescent="0.3">
      <c r="B40" s="40" t="s">
        <v>75</v>
      </c>
      <c r="C40" s="41">
        <v>8</v>
      </c>
      <c r="D40" s="125" t="str">
        <f xml:space="preserve"> IF(C40="","",setValueToTime(C40))</f>
        <v xml:space="preserve"> 40 min</v>
      </c>
      <c r="E40" s="42" t="s">
        <v>235</v>
      </c>
      <c r="F40" s="260" t="s">
        <v>236</v>
      </c>
      <c r="G40" s="249"/>
      <c r="H40" s="152"/>
    </row>
    <row r="41" spans="2:8" s="43" customFormat="1" ht="55.5" customHeight="1" x14ac:dyDescent="0.3">
      <c r="B41" s="44" t="s">
        <v>54</v>
      </c>
      <c r="C41" s="45">
        <v>20</v>
      </c>
      <c r="D41" s="126" t="str">
        <f t="shared" ref="D41:D47" si="3" xml:space="preserve"> IF(C41="","",setValueToTime(C41))</f>
        <v>1h 40 min</v>
      </c>
      <c r="E41" s="46" t="s">
        <v>237</v>
      </c>
      <c r="F41" s="261" t="s">
        <v>240</v>
      </c>
      <c r="G41" s="251"/>
      <c r="H41" s="152"/>
    </row>
    <row r="42" spans="2:8" s="43" customFormat="1" ht="40.5" x14ac:dyDescent="0.3">
      <c r="B42" s="44" t="s">
        <v>77</v>
      </c>
      <c r="C42" s="45">
        <v>9</v>
      </c>
      <c r="D42" s="126" t="str">
        <f t="shared" si="3"/>
        <v xml:space="preserve"> 45 min</v>
      </c>
      <c r="E42" s="46" t="s">
        <v>239</v>
      </c>
      <c r="F42" s="261" t="s">
        <v>238</v>
      </c>
      <c r="G42" s="251"/>
      <c r="H42" s="152"/>
    </row>
    <row r="43" spans="2:8" s="43" customFormat="1" ht="27" x14ac:dyDescent="0.3">
      <c r="B43" s="45" t="s">
        <v>53</v>
      </c>
      <c r="C43" s="45">
        <v>1</v>
      </c>
      <c r="D43" s="126" t="str">
        <f t="shared" si="3"/>
        <v xml:space="preserve"> 5 min</v>
      </c>
      <c r="E43" s="46" t="s">
        <v>169</v>
      </c>
      <c r="F43" s="250"/>
      <c r="G43" s="251"/>
      <c r="H43" s="152"/>
    </row>
    <row r="44" spans="2:8" s="43" customFormat="1" x14ac:dyDescent="0.3">
      <c r="B44" s="45"/>
      <c r="C44" s="45"/>
      <c r="D44" s="127" t="str">
        <f t="shared" si="3"/>
        <v/>
      </c>
      <c r="E44" s="46"/>
      <c r="F44" s="250"/>
      <c r="G44" s="251"/>
      <c r="H44" s="152"/>
    </row>
    <row r="45" spans="2:8" s="43" customFormat="1" x14ac:dyDescent="0.3">
      <c r="B45" s="45"/>
      <c r="C45" s="45"/>
      <c r="D45" s="127" t="str">
        <f t="shared" si="3"/>
        <v/>
      </c>
      <c r="E45" s="46"/>
      <c r="F45" s="250"/>
      <c r="G45" s="251"/>
      <c r="H45" s="152"/>
    </row>
    <row r="46" spans="2:8" s="43" customFormat="1" x14ac:dyDescent="0.3">
      <c r="B46" s="45"/>
      <c r="C46" s="45"/>
      <c r="D46" s="127" t="str">
        <f t="shared" si="3"/>
        <v/>
      </c>
      <c r="E46" s="46"/>
      <c r="F46" s="250"/>
      <c r="G46" s="251"/>
      <c r="H46" s="152"/>
    </row>
    <row r="47" spans="2:8" s="43" customFormat="1" ht="15" thickBot="1" x14ac:dyDescent="0.35">
      <c r="B47" s="47"/>
      <c r="C47" s="47"/>
      <c r="D47" s="128" t="str">
        <f t="shared" si="3"/>
        <v/>
      </c>
      <c r="E47" s="48"/>
      <c r="F47" s="254"/>
      <c r="G47" s="255"/>
      <c r="H47" s="152"/>
    </row>
    <row r="48" spans="2:8" s="43" customFormat="1" ht="15" thickBot="1" x14ac:dyDescent="0.35">
      <c r="B48" s="135" t="s">
        <v>64</v>
      </c>
      <c r="C48" s="66">
        <f>SUM(C40:C47)</f>
        <v>38</v>
      </c>
      <c r="D48" s="135" t="str">
        <f xml:space="preserve"> setValueToTime(C48)</f>
        <v>3h 10 min</v>
      </c>
      <c r="E48" s="96"/>
      <c r="F48" s="256"/>
      <c r="G48" s="25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19</v>
      </c>
      <c r="D50" s="137"/>
      <c r="E50" s="130" t="s">
        <v>58</v>
      </c>
      <c r="F50" s="131" t="s">
        <v>112</v>
      </c>
      <c r="G50" s="132" t="s">
        <v>78</v>
      </c>
      <c r="H50" s="151"/>
    </row>
    <row r="51" spans="2:8" s="39" customFormat="1" ht="30" customHeight="1" thickBot="1" x14ac:dyDescent="0.3">
      <c r="B51" s="61" t="s">
        <v>59</v>
      </c>
      <c r="C51" s="134" t="s">
        <v>60</v>
      </c>
      <c r="D51" s="133"/>
      <c r="E51" s="61" t="s">
        <v>61</v>
      </c>
      <c r="F51" s="258" t="s">
        <v>62</v>
      </c>
      <c r="G51" s="259"/>
      <c r="H51" s="151"/>
    </row>
    <row r="52" spans="2:8" s="43" customFormat="1" ht="27" x14ac:dyDescent="0.3">
      <c r="B52" s="40" t="s">
        <v>75</v>
      </c>
      <c r="C52" s="41">
        <v>3</v>
      </c>
      <c r="D52" s="125" t="str">
        <f xml:space="preserve"> IF(C52="","",setValueToTime(C52))</f>
        <v xml:space="preserve"> 15 min</v>
      </c>
      <c r="E52" s="42" t="s">
        <v>232</v>
      </c>
      <c r="F52" s="248"/>
      <c r="G52" s="249"/>
      <c r="H52" s="152"/>
    </row>
    <row r="53" spans="2:8" s="43" customFormat="1" ht="101.25" customHeight="1" x14ac:dyDescent="0.3">
      <c r="B53" s="44" t="s">
        <v>76</v>
      </c>
      <c r="C53" s="45">
        <v>34</v>
      </c>
      <c r="D53" s="126" t="str">
        <f t="shared" ref="D53:D59" si="4" xml:space="preserve"> IF(C53="","",setValueToTime(C53))</f>
        <v>2h 50 min</v>
      </c>
      <c r="E53" s="46" t="s">
        <v>231</v>
      </c>
      <c r="F53" s="261" t="s">
        <v>230</v>
      </c>
      <c r="G53" s="251"/>
      <c r="H53" s="152"/>
    </row>
    <row r="54" spans="2:8" s="43" customFormat="1" ht="54" x14ac:dyDescent="0.3">
      <c r="B54" s="44" t="s">
        <v>71</v>
      </c>
      <c r="C54" s="45">
        <v>10</v>
      </c>
      <c r="D54" s="126" t="str">
        <f t="shared" si="4"/>
        <v xml:space="preserve"> 50 min</v>
      </c>
      <c r="E54" s="46" t="s">
        <v>233</v>
      </c>
      <c r="F54" s="261" t="s">
        <v>234</v>
      </c>
      <c r="G54" s="251"/>
      <c r="H54" s="152"/>
    </row>
    <row r="55" spans="2:8" s="43" customFormat="1" ht="27" x14ac:dyDescent="0.3">
      <c r="B55" s="45" t="s">
        <v>53</v>
      </c>
      <c r="C55" s="45">
        <v>1</v>
      </c>
      <c r="D55" s="126" t="str">
        <f t="shared" si="4"/>
        <v xml:space="preserve"> 5 min</v>
      </c>
      <c r="E55" s="46" t="s">
        <v>169</v>
      </c>
      <c r="F55" s="250"/>
      <c r="G55" s="251"/>
      <c r="H55" s="152"/>
    </row>
    <row r="56" spans="2:8" s="43" customFormat="1" x14ac:dyDescent="0.3">
      <c r="B56" s="45"/>
      <c r="C56" s="45"/>
      <c r="D56" s="127" t="str">
        <f t="shared" si="4"/>
        <v/>
      </c>
      <c r="E56" s="46"/>
      <c r="F56" s="250"/>
      <c r="G56" s="251"/>
      <c r="H56" s="152"/>
    </row>
    <row r="57" spans="2:8" s="43" customFormat="1" x14ac:dyDescent="0.3">
      <c r="B57" s="45"/>
      <c r="C57" s="45"/>
      <c r="D57" s="127" t="str">
        <f t="shared" si="4"/>
        <v/>
      </c>
      <c r="E57" s="46"/>
      <c r="F57" s="250"/>
      <c r="G57" s="251"/>
      <c r="H57" s="152"/>
    </row>
    <row r="58" spans="2:8" s="43" customFormat="1" x14ac:dyDescent="0.3">
      <c r="B58" s="45"/>
      <c r="C58" s="45"/>
      <c r="D58" s="127" t="str">
        <f t="shared" si="4"/>
        <v/>
      </c>
      <c r="E58" s="46"/>
      <c r="F58" s="250"/>
      <c r="G58" s="251"/>
      <c r="H58" s="152"/>
    </row>
    <row r="59" spans="2:8" s="43" customFormat="1" ht="15" thickBot="1" x14ac:dyDescent="0.35">
      <c r="B59" s="47"/>
      <c r="C59" s="47"/>
      <c r="D59" s="128" t="str">
        <f t="shared" si="4"/>
        <v/>
      </c>
      <c r="E59" s="48"/>
      <c r="F59" s="254"/>
      <c r="G59" s="255"/>
      <c r="H59" s="152"/>
    </row>
    <row r="60" spans="2:8" s="43" customFormat="1" ht="15" thickBot="1" x14ac:dyDescent="0.35">
      <c r="B60" s="135" t="s">
        <v>64</v>
      </c>
      <c r="C60" s="66">
        <f>SUM(C52:C59)</f>
        <v>48</v>
      </c>
      <c r="D60" s="135" t="str">
        <f xml:space="preserve"> setValueToTime(C60)</f>
        <v>4h</v>
      </c>
      <c r="E60" s="96"/>
      <c r="F60" s="256"/>
      <c r="G60" s="25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18</v>
      </c>
      <c r="D62" s="137"/>
      <c r="E62" s="130" t="s">
        <v>58</v>
      </c>
      <c r="F62" s="131" t="s">
        <v>113</v>
      </c>
      <c r="G62" s="132" t="s">
        <v>79</v>
      </c>
      <c r="H62" s="151"/>
    </row>
    <row r="63" spans="2:8" s="39" customFormat="1" ht="30" customHeight="1" thickBot="1" x14ac:dyDescent="0.3">
      <c r="B63" s="61" t="s">
        <v>229</v>
      </c>
      <c r="C63" s="134" t="s">
        <v>60</v>
      </c>
      <c r="D63" s="133"/>
      <c r="E63" s="61" t="s">
        <v>61</v>
      </c>
      <c r="F63" s="258" t="s">
        <v>62</v>
      </c>
      <c r="G63" s="259"/>
      <c r="H63" s="151"/>
    </row>
    <row r="64" spans="2:8" s="43" customFormat="1" ht="27" customHeight="1" x14ac:dyDescent="0.3">
      <c r="B64" s="40" t="s">
        <v>76</v>
      </c>
      <c r="C64" s="41">
        <v>10</v>
      </c>
      <c r="D64" s="125" t="str">
        <f xml:space="preserve"> IF(C64="","",setValueToTime(C64))</f>
        <v xml:space="preserve"> 50 min</v>
      </c>
      <c r="E64" s="42" t="s">
        <v>224</v>
      </c>
      <c r="F64" s="260" t="s">
        <v>225</v>
      </c>
      <c r="G64" s="249"/>
      <c r="H64" s="152"/>
    </row>
    <row r="65" spans="2:8" s="43" customFormat="1" ht="27" x14ac:dyDescent="0.3">
      <c r="B65" s="44" t="s">
        <v>70</v>
      </c>
      <c r="C65" s="45">
        <v>4</v>
      </c>
      <c r="D65" s="126" t="str">
        <f t="shared" ref="D65:D71" si="5" xml:space="preserve"> IF(C65="","",setValueToTime(C65))</f>
        <v xml:space="preserve"> 20 min</v>
      </c>
      <c r="E65" s="46" t="s">
        <v>228</v>
      </c>
      <c r="F65" s="250"/>
      <c r="G65" s="251"/>
      <c r="H65" s="152"/>
    </row>
    <row r="66" spans="2:8" s="43" customFormat="1" ht="27" x14ac:dyDescent="0.3">
      <c r="B66" s="44" t="s">
        <v>75</v>
      </c>
      <c r="C66" s="45">
        <v>14</v>
      </c>
      <c r="D66" s="126" t="str">
        <f t="shared" si="5"/>
        <v>1h 10 min</v>
      </c>
      <c r="E66" s="46" t="s">
        <v>227</v>
      </c>
      <c r="F66" s="250"/>
      <c r="G66" s="251"/>
      <c r="H66" s="152"/>
    </row>
    <row r="67" spans="2:8" s="43" customFormat="1" ht="27" x14ac:dyDescent="0.3">
      <c r="B67" s="45" t="s">
        <v>53</v>
      </c>
      <c r="C67" s="45">
        <v>1</v>
      </c>
      <c r="D67" s="126" t="str">
        <f t="shared" si="5"/>
        <v xml:space="preserve"> 5 min</v>
      </c>
      <c r="E67" s="46" t="s">
        <v>169</v>
      </c>
      <c r="F67" s="250"/>
      <c r="G67" s="251"/>
      <c r="H67" s="152"/>
    </row>
    <row r="68" spans="2:8" s="43" customFormat="1" x14ac:dyDescent="0.3">
      <c r="B68" s="45"/>
      <c r="C68" s="45"/>
      <c r="D68" s="127" t="str">
        <f t="shared" si="5"/>
        <v/>
      </c>
      <c r="E68" s="46"/>
      <c r="F68" s="250"/>
      <c r="G68" s="251"/>
      <c r="H68" s="152"/>
    </row>
    <row r="69" spans="2:8" s="43" customFormat="1" x14ac:dyDescent="0.3">
      <c r="B69" s="45"/>
      <c r="C69" s="45"/>
      <c r="D69" s="127" t="str">
        <f t="shared" si="5"/>
        <v/>
      </c>
      <c r="E69" s="46"/>
      <c r="F69" s="250"/>
      <c r="G69" s="251"/>
      <c r="H69" s="152"/>
    </row>
    <row r="70" spans="2:8" s="43" customFormat="1" x14ac:dyDescent="0.3">
      <c r="B70" s="45"/>
      <c r="C70" s="45"/>
      <c r="D70" s="127" t="str">
        <f t="shared" si="5"/>
        <v/>
      </c>
      <c r="E70" s="46"/>
      <c r="F70" s="250"/>
      <c r="G70" s="251"/>
      <c r="H70" s="152"/>
    </row>
    <row r="71" spans="2:8" s="43" customFormat="1" ht="15" thickBot="1" x14ac:dyDescent="0.35">
      <c r="B71" s="47"/>
      <c r="C71" s="47"/>
      <c r="D71" s="128" t="str">
        <f t="shared" si="5"/>
        <v/>
      </c>
      <c r="E71" s="48"/>
      <c r="F71" s="254"/>
      <c r="G71" s="255"/>
      <c r="H71" s="152"/>
    </row>
    <row r="72" spans="2:8" s="43" customFormat="1" ht="15" thickBot="1" x14ac:dyDescent="0.35">
      <c r="B72" s="135" t="s">
        <v>64</v>
      </c>
      <c r="C72" s="66">
        <f>SUM(C64:C71)</f>
        <v>29</v>
      </c>
      <c r="D72" s="135" t="str">
        <f xml:space="preserve"> setValueToTime(C72)</f>
        <v>2h 25 min</v>
      </c>
      <c r="E72" s="96"/>
      <c r="F72" s="256"/>
      <c r="G72" s="25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17</v>
      </c>
      <c r="D74" s="137"/>
      <c r="E74" s="130" t="s">
        <v>58</v>
      </c>
      <c r="F74" s="131" t="s">
        <v>113</v>
      </c>
      <c r="G74" s="132" t="s">
        <v>78</v>
      </c>
      <c r="H74" s="151"/>
    </row>
    <row r="75" spans="2:8" s="39" customFormat="1" ht="30" customHeight="1" thickBot="1" x14ac:dyDescent="0.3">
      <c r="B75" s="61" t="s">
        <v>59</v>
      </c>
      <c r="C75" s="134" t="s">
        <v>60</v>
      </c>
      <c r="D75" s="133"/>
      <c r="E75" s="61" t="s">
        <v>61</v>
      </c>
      <c r="F75" s="258" t="s">
        <v>62</v>
      </c>
      <c r="G75" s="259"/>
      <c r="H75" s="151"/>
    </row>
    <row r="76" spans="2:8" s="43" customFormat="1" ht="84.75" customHeight="1" x14ac:dyDescent="0.3">
      <c r="B76" s="40" t="s">
        <v>71</v>
      </c>
      <c r="C76" s="41">
        <v>15</v>
      </c>
      <c r="D76" s="125" t="str">
        <f xml:space="preserve"> IF(C76="","",setValueToTime(C76))</f>
        <v>1h 15 min</v>
      </c>
      <c r="E76" s="42" t="s">
        <v>226</v>
      </c>
      <c r="F76" s="260" t="s">
        <v>221</v>
      </c>
      <c r="G76" s="249"/>
      <c r="H76" s="152"/>
    </row>
    <row r="77" spans="2:8" s="43" customFormat="1" ht="102" customHeight="1" x14ac:dyDescent="0.3">
      <c r="B77" s="44" t="s">
        <v>76</v>
      </c>
      <c r="C77" s="45">
        <v>22</v>
      </c>
      <c r="D77" s="126" t="str">
        <f t="shared" ref="D77:D83" si="6" xml:space="preserve"> IF(C77="","",setValueToTime(C77))</f>
        <v>1h 50 min</v>
      </c>
      <c r="E77" s="201" t="s">
        <v>223</v>
      </c>
      <c r="F77" s="261" t="s">
        <v>222</v>
      </c>
      <c r="G77" s="251"/>
      <c r="H77" s="152"/>
    </row>
    <row r="78" spans="2:8" s="43" customFormat="1" ht="27" x14ac:dyDescent="0.3">
      <c r="B78" s="45" t="s">
        <v>53</v>
      </c>
      <c r="C78" s="45">
        <v>1</v>
      </c>
      <c r="D78" s="126" t="str">
        <f t="shared" si="6"/>
        <v xml:space="preserve"> 5 min</v>
      </c>
      <c r="E78" s="46" t="s">
        <v>169</v>
      </c>
      <c r="F78" s="261"/>
      <c r="G78" s="251"/>
      <c r="H78" s="152"/>
    </row>
    <row r="79" spans="2:8" s="43" customFormat="1" x14ac:dyDescent="0.3">
      <c r="B79" s="44"/>
      <c r="C79" s="45"/>
      <c r="D79" s="126" t="str">
        <f t="shared" si="6"/>
        <v/>
      </c>
      <c r="E79" s="46"/>
      <c r="F79" s="250"/>
      <c r="G79" s="251"/>
      <c r="H79" s="152"/>
    </row>
    <row r="80" spans="2:8" s="43" customFormat="1" x14ac:dyDescent="0.3">
      <c r="B80" s="45"/>
      <c r="C80" s="45"/>
      <c r="D80" s="127" t="str">
        <f t="shared" si="6"/>
        <v/>
      </c>
      <c r="E80" s="46"/>
      <c r="F80" s="250"/>
      <c r="G80" s="251"/>
      <c r="H80" s="152"/>
    </row>
    <row r="81" spans="2:8" s="43" customFormat="1" x14ac:dyDescent="0.3">
      <c r="B81" s="45"/>
      <c r="C81" s="45"/>
      <c r="D81" s="127" t="str">
        <f t="shared" si="6"/>
        <v/>
      </c>
      <c r="E81" s="46"/>
      <c r="F81" s="250"/>
      <c r="G81" s="251"/>
      <c r="H81" s="152"/>
    </row>
    <row r="82" spans="2:8" s="43" customFormat="1" x14ac:dyDescent="0.3">
      <c r="B82" s="45"/>
      <c r="C82" s="45"/>
      <c r="D82" s="127" t="str">
        <f t="shared" si="6"/>
        <v/>
      </c>
      <c r="E82" s="46"/>
      <c r="F82" s="250"/>
      <c r="G82" s="251"/>
      <c r="H82" s="152"/>
    </row>
    <row r="83" spans="2:8" s="43" customFormat="1" ht="15" thickBot="1" x14ac:dyDescent="0.35">
      <c r="B83" s="47"/>
      <c r="C83" s="47"/>
      <c r="D83" s="128" t="str">
        <f t="shared" si="6"/>
        <v/>
      </c>
      <c r="E83" s="48"/>
      <c r="F83" s="254"/>
      <c r="G83" s="255"/>
      <c r="H83" s="152"/>
    </row>
    <row r="84" spans="2:8" s="43" customFormat="1" ht="15" thickBot="1" x14ac:dyDescent="0.35">
      <c r="B84" s="135" t="s">
        <v>64</v>
      </c>
      <c r="C84" s="66">
        <f>SUM(C76:C83)</f>
        <v>38</v>
      </c>
      <c r="D84" s="135" t="str">
        <f xml:space="preserve"> setValueToTime(C84)</f>
        <v>3h 10 min</v>
      </c>
      <c r="E84" s="96"/>
      <c r="F84" s="256"/>
      <c r="G84" s="25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16</v>
      </c>
      <c r="D86" s="137"/>
      <c r="E86" s="130" t="s">
        <v>58</v>
      </c>
      <c r="F86" s="131" t="s">
        <v>114</v>
      </c>
      <c r="G86" s="132" t="s">
        <v>79</v>
      </c>
      <c r="H86" s="151"/>
    </row>
    <row r="87" spans="2:8" s="39" customFormat="1" ht="30" customHeight="1" thickBot="1" x14ac:dyDescent="0.3">
      <c r="B87" s="61" t="s">
        <v>59</v>
      </c>
      <c r="C87" s="134" t="s">
        <v>60</v>
      </c>
      <c r="D87" s="133"/>
      <c r="E87" s="61" t="s">
        <v>61</v>
      </c>
      <c r="F87" s="258" t="s">
        <v>62</v>
      </c>
      <c r="G87" s="259"/>
      <c r="H87" s="151"/>
    </row>
    <row r="88" spans="2:8" s="43" customFormat="1" x14ac:dyDescent="0.3">
      <c r="B88" s="40" t="s">
        <v>54</v>
      </c>
      <c r="C88" s="41">
        <v>10</v>
      </c>
      <c r="D88" s="125" t="str">
        <f xml:space="preserve"> IF(C88="","",setValueToTime(C88))</f>
        <v xml:space="preserve"> 50 min</v>
      </c>
      <c r="E88" s="42" t="s">
        <v>215</v>
      </c>
      <c r="F88" s="260" t="s">
        <v>216</v>
      </c>
      <c r="G88" s="249"/>
      <c r="H88" s="152"/>
    </row>
    <row r="89" spans="2:8" s="43" customFormat="1" ht="27" x14ac:dyDescent="0.3">
      <c r="B89" s="44" t="s">
        <v>75</v>
      </c>
      <c r="C89" s="45">
        <v>16</v>
      </c>
      <c r="D89" s="126" t="str">
        <f t="shared" ref="D89:D95" si="7" xml:space="preserve"> IF(C89="","",setValueToTime(C89))</f>
        <v>1h 20 min</v>
      </c>
      <c r="E89" s="46" t="s">
        <v>217</v>
      </c>
      <c r="F89" s="261" t="s">
        <v>218</v>
      </c>
      <c r="G89" s="251"/>
      <c r="H89" s="152"/>
    </row>
    <row r="90" spans="2:8" s="43" customFormat="1" x14ac:dyDescent="0.3">
      <c r="B90" s="44" t="s">
        <v>68</v>
      </c>
      <c r="C90" s="45">
        <v>11</v>
      </c>
      <c r="D90" s="126" t="str">
        <f t="shared" si="7"/>
        <v xml:space="preserve"> 55 min</v>
      </c>
      <c r="E90" s="46" t="s">
        <v>220</v>
      </c>
      <c r="F90" s="250"/>
      <c r="G90" s="251"/>
      <c r="H90" s="152"/>
    </row>
    <row r="91" spans="2:8" s="43" customFormat="1" ht="27" x14ac:dyDescent="0.3">
      <c r="B91" s="45" t="s">
        <v>53</v>
      </c>
      <c r="C91" s="45">
        <v>1</v>
      </c>
      <c r="D91" s="126" t="str">
        <f t="shared" si="7"/>
        <v xml:space="preserve"> 5 min</v>
      </c>
      <c r="E91" s="46" t="s">
        <v>169</v>
      </c>
      <c r="F91" s="250"/>
      <c r="G91" s="251"/>
      <c r="H91" s="152"/>
    </row>
    <row r="92" spans="2:8" s="43" customFormat="1" x14ac:dyDescent="0.3">
      <c r="B92" s="45"/>
      <c r="C92" s="45"/>
      <c r="D92" s="127" t="str">
        <f t="shared" si="7"/>
        <v/>
      </c>
      <c r="E92" s="46"/>
      <c r="F92" s="250"/>
      <c r="G92" s="251"/>
      <c r="H92" s="152"/>
    </row>
    <row r="93" spans="2:8" s="43" customFormat="1" x14ac:dyDescent="0.3">
      <c r="B93" s="45"/>
      <c r="C93" s="45"/>
      <c r="D93" s="127" t="str">
        <f t="shared" si="7"/>
        <v/>
      </c>
      <c r="E93" s="46"/>
      <c r="F93" s="250"/>
      <c r="G93" s="251"/>
      <c r="H93" s="152"/>
    </row>
    <row r="94" spans="2:8" s="43" customFormat="1" x14ac:dyDescent="0.3">
      <c r="B94" s="45"/>
      <c r="C94" s="45"/>
      <c r="D94" s="127" t="str">
        <f t="shared" si="7"/>
        <v/>
      </c>
      <c r="E94" s="46"/>
      <c r="F94" s="250"/>
      <c r="G94" s="251"/>
      <c r="H94" s="152"/>
    </row>
    <row r="95" spans="2:8" s="43" customFormat="1" ht="15" thickBot="1" x14ac:dyDescent="0.35">
      <c r="B95" s="47"/>
      <c r="C95" s="47"/>
      <c r="D95" s="128" t="str">
        <f t="shared" si="7"/>
        <v/>
      </c>
      <c r="E95" s="48"/>
      <c r="F95" s="254"/>
      <c r="G95" s="255"/>
      <c r="H95" s="152"/>
    </row>
    <row r="96" spans="2:8" s="43" customFormat="1" ht="15" thickBot="1" x14ac:dyDescent="0.35">
      <c r="B96" s="135" t="s">
        <v>64</v>
      </c>
      <c r="C96" s="66">
        <f>SUM(C88:C95)</f>
        <v>38</v>
      </c>
      <c r="D96" s="135" t="str">
        <f xml:space="preserve"> setValueToTime(C96)</f>
        <v>3h 10 min</v>
      </c>
      <c r="E96" s="96"/>
      <c r="F96" s="256"/>
      <c r="G96" s="25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15</v>
      </c>
      <c r="D98" s="137"/>
      <c r="E98" s="130" t="s">
        <v>58</v>
      </c>
      <c r="F98" s="131" t="s">
        <v>114</v>
      </c>
      <c r="G98" s="132" t="s">
        <v>78</v>
      </c>
      <c r="H98" s="151"/>
    </row>
    <row r="99" spans="2:8" s="39" customFormat="1" ht="30" customHeight="1" thickBot="1" x14ac:dyDescent="0.3">
      <c r="B99" s="61" t="s">
        <v>59</v>
      </c>
      <c r="C99" s="134" t="s">
        <v>60</v>
      </c>
      <c r="D99" s="133"/>
      <c r="E99" s="61" t="s">
        <v>61</v>
      </c>
      <c r="F99" s="258" t="s">
        <v>62</v>
      </c>
      <c r="G99" s="259"/>
      <c r="H99" s="151"/>
    </row>
    <row r="100" spans="2:8" s="43" customFormat="1" x14ac:dyDescent="0.3">
      <c r="B100" s="40" t="s">
        <v>54</v>
      </c>
      <c r="C100" s="41">
        <v>20</v>
      </c>
      <c r="D100" s="125" t="str">
        <f xml:space="preserve"> IF(C100="","",setValueToTime(C100))</f>
        <v>1h 40 min</v>
      </c>
      <c r="E100" s="42" t="s">
        <v>212</v>
      </c>
      <c r="F100" s="248"/>
      <c r="G100" s="249"/>
      <c r="H100" s="152"/>
    </row>
    <row r="101" spans="2:8" s="43" customFormat="1" ht="27" x14ac:dyDescent="0.3">
      <c r="B101" s="44" t="s">
        <v>75</v>
      </c>
      <c r="C101" s="45">
        <v>13</v>
      </c>
      <c r="D101" s="126" t="str">
        <f t="shared" ref="D101:D107" si="8" xml:space="preserve"> IF(C101="","",setValueToTime(C101))</f>
        <v>1h 5 min</v>
      </c>
      <c r="E101" s="46" t="s">
        <v>213</v>
      </c>
      <c r="F101" s="261" t="s">
        <v>219</v>
      </c>
      <c r="G101" s="251"/>
      <c r="H101" s="152"/>
    </row>
    <row r="102" spans="2:8" s="43" customFormat="1" x14ac:dyDescent="0.3">
      <c r="B102" s="44" t="s">
        <v>54</v>
      </c>
      <c r="C102" s="45">
        <v>14</v>
      </c>
      <c r="D102" s="126" t="str">
        <f t="shared" si="8"/>
        <v>1h 10 min</v>
      </c>
      <c r="E102" s="46" t="s">
        <v>214</v>
      </c>
      <c r="F102" s="250"/>
      <c r="G102" s="251"/>
      <c r="H102" s="152"/>
    </row>
    <row r="103" spans="2:8" s="43" customFormat="1" ht="27" x14ac:dyDescent="0.3">
      <c r="B103" s="45" t="s">
        <v>53</v>
      </c>
      <c r="C103" s="45">
        <v>1</v>
      </c>
      <c r="D103" s="126" t="str">
        <f t="shared" si="8"/>
        <v xml:space="preserve"> 5 min</v>
      </c>
      <c r="E103" s="46" t="s">
        <v>169</v>
      </c>
      <c r="F103" s="250"/>
      <c r="G103" s="251"/>
      <c r="H103" s="152"/>
    </row>
    <row r="104" spans="2:8" s="43" customFormat="1" x14ac:dyDescent="0.3">
      <c r="B104" s="45"/>
      <c r="C104" s="45"/>
      <c r="D104" s="127" t="str">
        <f t="shared" si="8"/>
        <v/>
      </c>
      <c r="E104" s="46"/>
      <c r="F104" s="250"/>
      <c r="G104" s="251"/>
      <c r="H104" s="152"/>
    </row>
    <row r="105" spans="2:8" s="43" customFormat="1" x14ac:dyDescent="0.3">
      <c r="B105" s="45"/>
      <c r="C105" s="45"/>
      <c r="D105" s="127" t="str">
        <f t="shared" si="8"/>
        <v/>
      </c>
      <c r="E105" s="46"/>
      <c r="F105" s="250"/>
      <c r="G105" s="251"/>
      <c r="H105" s="152"/>
    </row>
    <row r="106" spans="2:8" s="43" customFormat="1" x14ac:dyDescent="0.3">
      <c r="B106" s="45"/>
      <c r="C106" s="45"/>
      <c r="D106" s="127" t="str">
        <f t="shared" si="8"/>
        <v/>
      </c>
      <c r="E106" s="46"/>
      <c r="F106" s="250"/>
      <c r="G106" s="251"/>
      <c r="H106" s="152"/>
    </row>
    <row r="107" spans="2:8" s="43" customFormat="1" ht="15" thickBot="1" x14ac:dyDescent="0.35">
      <c r="B107" s="47"/>
      <c r="C107" s="47"/>
      <c r="D107" s="128" t="str">
        <f t="shared" si="8"/>
        <v/>
      </c>
      <c r="E107" s="48"/>
      <c r="F107" s="254"/>
      <c r="G107" s="255"/>
      <c r="H107" s="152"/>
    </row>
    <row r="108" spans="2:8" s="43" customFormat="1" ht="15" thickBot="1" x14ac:dyDescent="0.35">
      <c r="B108" s="135" t="s">
        <v>64</v>
      </c>
      <c r="C108" s="66">
        <f>SUM(C100:C107)</f>
        <v>48</v>
      </c>
      <c r="D108" s="135" t="str">
        <f xml:space="preserve"> setValueToTime(C108)</f>
        <v>4h</v>
      </c>
      <c r="E108" s="96"/>
      <c r="F108" s="256"/>
      <c r="G108" s="25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14</v>
      </c>
      <c r="D110" s="137"/>
      <c r="E110" s="130" t="s">
        <v>58</v>
      </c>
      <c r="F110" s="131" t="s">
        <v>115</v>
      </c>
      <c r="G110" s="132" t="s">
        <v>79</v>
      </c>
      <c r="H110" s="151"/>
    </row>
    <row r="111" spans="2:8" s="39" customFormat="1" ht="30" customHeight="1" thickBot="1" x14ac:dyDescent="0.3">
      <c r="B111" s="61" t="s">
        <v>59</v>
      </c>
      <c r="C111" s="134" t="s">
        <v>60</v>
      </c>
      <c r="D111" s="133"/>
      <c r="E111" s="61" t="s">
        <v>61</v>
      </c>
      <c r="F111" s="258" t="s">
        <v>62</v>
      </c>
      <c r="G111" s="259"/>
      <c r="H111" s="151"/>
    </row>
    <row r="112" spans="2:8" s="43" customFormat="1" x14ac:dyDescent="0.3">
      <c r="B112" s="40" t="s">
        <v>54</v>
      </c>
      <c r="C112" s="41">
        <v>10</v>
      </c>
      <c r="D112" s="125" t="str">
        <f xml:space="preserve"> IF(C112="","",setValueToTime(C112))</f>
        <v xml:space="preserve"> 50 min</v>
      </c>
      <c r="E112" s="42" t="s">
        <v>205</v>
      </c>
      <c r="F112" s="248"/>
      <c r="G112" s="249"/>
      <c r="H112" s="152"/>
    </row>
    <row r="113" spans="2:8" s="43" customFormat="1" ht="27" x14ac:dyDescent="0.3">
      <c r="B113" s="44" t="s">
        <v>70</v>
      </c>
      <c r="C113" s="45">
        <v>2</v>
      </c>
      <c r="D113" s="126" t="str">
        <f t="shared" ref="D113:D119" si="9" xml:space="preserve"> IF(C113="","",setValueToTime(C113))</f>
        <v xml:space="preserve"> 10 min</v>
      </c>
      <c r="E113" s="46" t="s">
        <v>206</v>
      </c>
      <c r="F113" s="250"/>
      <c r="G113" s="251"/>
      <c r="H113" s="152"/>
    </row>
    <row r="114" spans="2:8" s="43" customFormat="1" ht="43.5" customHeight="1" x14ac:dyDescent="0.3">
      <c r="B114" s="44" t="s">
        <v>71</v>
      </c>
      <c r="C114" s="45">
        <v>13</v>
      </c>
      <c r="D114" s="126" t="str">
        <f t="shared" si="9"/>
        <v>1h 5 min</v>
      </c>
      <c r="E114" s="46" t="s">
        <v>207</v>
      </c>
      <c r="F114" s="261" t="s">
        <v>208</v>
      </c>
      <c r="G114" s="251"/>
      <c r="H114" s="152"/>
    </row>
    <row r="115" spans="2:8" s="43" customFormat="1" ht="27" x14ac:dyDescent="0.3">
      <c r="B115" s="44" t="s">
        <v>75</v>
      </c>
      <c r="C115" s="45">
        <v>12</v>
      </c>
      <c r="D115" s="126" t="str">
        <f t="shared" si="9"/>
        <v>1h</v>
      </c>
      <c r="E115" s="46" t="s">
        <v>209</v>
      </c>
      <c r="F115" s="250" t="s">
        <v>210</v>
      </c>
      <c r="G115" s="251"/>
      <c r="H115" s="152"/>
    </row>
    <row r="116" spans="2:8" s="43" customFormat="1" ht="27" x14ac:dyDescent="0.3">
      <c r="B116" s="45" t="s">
        <v>53</v>
      </c>
      <c r="C116" s="45">
        <v>1</v>
      </c>
      <c r="D116" s="127" t="str">
        <f t="shared" si="9"/>
        <v xml:space="preserve"> 5 min</v>
      </c>
      <c r="E116" s="46" t="s">
        <v>169</v>
      </c>
      <c r="F116" s="250"/>
      <c r="G116" s="251"/>
      <c r="H116" s="152"/>
    </row>
    <row r="117" spans="2:8" s="43" customFormat="1" x14ac:dyDescent="0.3">
      <c r="B117" s="45"/>
      <c r="C117" s="45"/>
      <c r="D117" s="127" t="str">
        <f t="shared" si="9"/>
        <v/>
      </c>
      <c r="E117" s="46"/>
      <c r="F117" s="250"/>
      <c r="G117" s="251"/>
      <c r="H117" s="152"/>
    </row>
    <row r="118" spans="2:8" s="43" customFormat="1" x14ac:dyDescent="0.3">
      <c r="B118" s="45"/>
      <c r="C118" s="45"/>
      <c r="D118" s="127" t="str">
        <f t="shared" si="9"/>
        <v/>
      </c>
      <c r="E118" s="46"/>
      <c r="F118" s="250"/>
      <c r="G118" s="251"/>
      <c r="H118" s="152"/>
    </row>
    <row r="119" spans="2:8" s="43" customFormat="1" ht="15" thickBot="1" x14ac:dyDescent="0.35">
      <c r="B119" s="47"/>
      <c r="C119" s="47"/>
      <c r="D119" s="128" t="str">
        <f t="shared" si="9"/>
        <v/>
      </c>
      <c r="E119" s="48"/>
      <c r="F119" s="254"/>
      <c r="G119" s="255"/>
      <c r="H119" s="152"/>
    </row>
    <row r="120" spans="2:8" s="43" customFormat="1" ht="15" thickBot="1" x14ac:dyDescent="0.35">
      <c r="B120" s="135" t="s">
        <v>64</v>
      </c>
      <c r="C120" s="66">
        <f>SUM(C112:C119)</f>
        <v>38</v>
      </c>
      <c r="D120" s="135" t="str">
        <f xml:space="preserve"> setValueToTime(C120)</f>
        <v>3h 10 min</v>
      </c>
      <c r="E120" s="96"/>
      <c r="F120" s="256"/>
      <c r="G120" s="25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13</v>
      </c>
      <c r="D122" s="137"/>
      <c r="E122" s="130" t="s">
        <v>58</v>
      </c>
      <c r="F122" s="131" t="s">
        <v>116</v>
      </c>
      <c r="G122" s="132" t="s">
        <v>79</v>
      </c>
      <c r="H122" s="151"/>
    </row>
    <row r="123" spans="2:8" s="39" customFormat="1" ht="30" customHeight="1" thickBot="1" x14ac:dyDescent="0.3">
      <c r="B123" s="61" t="s">
        <v>59</v>
      </c>
      <c r="C123" s="134" t="s">
        <v>60</v>
      </c>
      <c r="D123" s="133"/>
      <c r="E123" s="61" t="s">
        <v>61</v>
      </c>
      <c r="F123" s="258" t="s">
        <v>62</v>
      </c>
      <c r="G123" s="259"/>
      <c r="H123" s="151"/>
    </row>
    <row r="124" spans="2:8" s="43" customFormat="1" ht="67.5" x14ac:dyDescent="0.3">
      <c r="B124" s="40" t="s">
        <v>75</v>
      </c>
      <c r="C124" s="41">
        <v>24</v>
      </c>
      <c r="D124" s="125" t="str">
        <f xml:space="preserve"> IF(C124="","",setValueToTime(C124))</f>
        <v>2h</v>
      </c>
      <c r="E124" s="42" t="s">
        <v>204</v>
      </c>
      <c r="F124" s="260" t="s">
        <v>201</v>
      </c>
      <c r="G124" s="249"/>
      <c r="H124" s="152"/>
    </row>
    <row r="125" spans="2:8" s="43" customFormat="1" ht="27" x14ac:dyDescent="0.3">
      <c r="B125" s="44" t="s">
        <v>75</v>
      </c>
      <c r="C125" s="45">
        <v>6</v>
      </c>
      <c r="D125" s="126" t="str">
        <f t="shared" ref="D125:D131" si="10" xml:space="preserve"> IF(C125="","",setValueToTime(C125))</f>
        <v xml:space="preserve"> 30 min</v>
      </c>
      <c r="E125" s="46" t="s">
        <v>202</v>
      </c>
      <c r="F125" s="261" t="s">
        <v>200</v>
      </c>
      <c r="G125" s="251"/>
      <c r="H125" s="152"/>
    </row>
    <row r="126" spans="2:8" s="43" customFormat="1" x14ac:dyDescent="0.3">
      <c r="B126" s="44" t="s">
        <v>54</v>
      </c>
      <c r="C126" s="45">
        <v>7</v>
      </c>
      <c r="D126" s="126" t="str">
        <f t="shared" si="10"/>
        <v xml:space="preserve"> 35 min</v>
      </c>
      <c r="E126" s="46" t="s">
        <v>203</v>
      </c>
      <c r="F126" s="250"/>
      <c r="G126" s="251"/>
      <c r="H126" s="152"/>
    </row>
    <row r="127" spans="2:8" s="43" customFormat="1" ht="27" x14ac:dyDescent="0.3">
      <c r="B127" s="44" t="s">
        <v>53</v>
      </c>
      <c r="C127" s="45">
        <v>1</v>
      </c>
      <c r="D127" s="126" t="str">
        <f t="shared" si="10"/>
        <v xml:space="preserve"> 5 min</v>
      </c>
      <c r="E127" s="46" t="s">
        <v>169</v>
      </c>
      <c r="F127" s="250"/>
      <c r="G127" s="251"/>
      <c r="H127" s="152"/>
    </row>
    <row r="128" spans="2:8" s="43" customFormat="1" x14ac:dyDescent="0.3">
      <c r="B128" s="45"/>
      <c r="C128" s="45"/>
      <c r="D128" s="127" t="str">
        <f t="shared" si="10"/>
        <v/>
      </c>
      <c r="E128" s="46"/>
      <c r="F128" s="250"/>
      <c r="G128" s="251"/>
      <c r="H128" s="152"/>
    </row>
    <row r="129" spans="2:8" s="43" customFormat="1" x14ac:dyDescent="0.3">
      <c r="B129" s="45"/>
      <c r="C129" s="45"/>
      <c r="D129" s="127" t="str">
        <f t="shared" si="10"/>
        <v/>
      </c>
      <c r="E129" s="46"/>
      <c r="F129" s="250"/>
      <c r="G129" s="251"/>
      <c r="H129" s="152"/>
    </row>
    <row r="130" spans="2:8" s="43" customFormat="1" x14ac:dyDescent="0.3">
      <c r="B130" s="45"/>
      <c r="C130" s="45"/>
      <c r="D130" s="127" t="str">
        <f t="shared" si="10"/>
        <v/>
      </c>
      <c r="E130" s="46"/>
      <c r="F130" s="250"/>
      <c r="G130" s="251"/>
      <c r="H130" s="152"/>
    </row>
    <row r="131" spans="2:8" s="43" customFormat="1" ht="15" thickBot="1" x14ac:dyDescent="0.35">
      <c r="B131" s="47"/>
      <c r="C131" s="47"/>
      <c r="D131" s="128" t="str">
        <f t="shared" si="10"/>
        <v/>
      </c>
      <c r="E131" s="48"/>
      <c r="F131" s="254"/>
      <c r="G131" s="255"/>
      <c r="H131" s="152"/>
    </row>
    <row r="132" spans="2:8" s="43" customFormat="1" ht="15" thickBot="1" x14ac:dyDescent="0.35">
      <c r="B132" s="135" t="s">
        <v>64</v>
      </c>
      <c r="C132" s="66">
        <f>SUM(C124:C131)</f>
        <v>38</v>
      </c>
      <c r="D132" s="135" t="str">
        <f xml:space="preserve"> setValueToTime(C132)</f>
        <v>3h 10 min</v>
      </c>
      <c r="E132" s="96"/>
      <c r="F132" s="256"/>
      <c r="G132" s="25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12</v>
      </c>
      <c r="D134" s="137"/>
      <c r="E134" s="130" t="s">
        <v>58</v>
      </c>
      <c r="F134" s="131" t="s">
        <v>116</v>
      </c>
      <c r="G134" s="132" t="s">
        <v>78</v>
      </c>
      <c r="H134" s="151"/>
    </row>
    <row r="135" spans="2:8" s="39" customFormat="1" ht="30" customHeight="1" thickBot="1" x14ac:dyDescent="0.3">
      <c r="B135" s="61" t="s">
        <v>59</v>
      </c>
      <c r="C135" s="134" t="s">
        <v>60</v>
      </c>
      <c r="D135" s="133"/>
      <c r="E135" s="61" t="s">
        <v>61</v>
      </c>
      <c r="F135" s="258" t="s">
        <v>62</v>
      </c>
      <c r="G135" s="259"/>
      <c r="H135" s="151"/>
    </row>
    <row r="136" spans="2:8" s="43" customFormat="1" ht="27" x14ac:dyDescent="0.3">
      <c r="B136" s="40" t="s">
        <v>71</v>
      </c>
      <c r="C136" s="41">
        <v>9</v>
      </c>
      <c r="D136" s="125" t="str">
        <f xml:space="preserve"> IF(C136="","",setValueToTime(C136))</f>
        <v xml:space="preserve"> 45 min</v>
      </c>
      <c r="E136" s="42" t="s">
        <v>197</v>
      </c>
      <c r="F136" s="260" t="s">
        <v>196</v>
      </c>
      <c r="G136" s="249"/>
      <c r="H136" s="152"/>
    </row>
    <row r="137" spans="2:8" s="43" customFormat="1" ht="40.5" x14ac:dyDescent="0.3">
      <c r="B137" s="44" t="s">
        <v>75</v>
      </c>
      <c r="C137" s="45">
        <v>38</v>
      </c>
      <c r="D137" s="126" t="str">
        <f t="shared" ref="D137:D143" si="11" xml:space="preserve"> IF(C137="","",setValueToTime(C137))</f>
        <v>3h 10 min</v>
      </c>
      <c r="E137" s="46" t="s">
        <v>198</v>
      </c>
      <c r="F137" s="261" t="s">
        <v>199</v>
      </c>
      <c r="G137" s="251"/>
      <c r="H137" s="152"/>
    </row>
    <row r="138" spans="2:8" s="43" customFormat="1" ht="27" x14ac:dyDescent="0.3">
      <c r="B138" s="44" t="s">
        <v>53</v>
      </c>
      <c r="C138" s="45">
        <v>1</v>
      </c>
      <c r="D138" s="126" t="str">
        <f t="shared" si="11"/>
        <v xml:space="preserve"> 5 min</v>
      </c>
      <c r="E138" s="46" t="s">
        <v>169</v>
      </c>
      <c r="F138" s="250"/>
      <c r="G138" s="251"/>
      <c r="H138" s="152"/>
    </row>
    <row r="139" spans="2:8" s="43" customFormat="1" x14ac:dyDescent="0.3">
      <c r="B139" s="44"/>
      <c r="C139" s="45"/>
      <c r="D139" s="126" t="str">
        <f t="shared" si="11"/>
        <v/>
      </c>
      <c r="E139" s="46"/>
      <c r="F139" s="250"/>
      <c r="G139" s="251"/>
      <c r="H139" s="152"/>
    </row>
    <row r="140" spans="2:8" s="43" customFormat="1" x14ac:dyDescent="0.3">
      <c r="B140" s="45"/>
      <c r="C140" s="45"/>
      <c r="D140" s="127" t="str">
        <f t="shared" si="11"/>
        <v/>
      </c>
      <c r="E140" s="46"/>
      <c r="F140" s="250"/>
      <c r="G140" s="251"/>
      <c r="H140" s="152"/>
    </row>
    <row r="141" spans="2:8" s="43" customFormat="1" x14ac:dyDescent="0.3">
      <c r="B141" s="45"/>
      <c r="C141" s="45"/>
      <c r="D141" s="127" t="str">
        <f t="shared" si="11"/>
        <v/>
      </c>
      <c r="E141" s="46"/>
      <c r="F141" s="250"/>
      <c r="G141" s="251"/>
      <c r="H141" s="152"/>
    </row>
    <row r="142" spans="2:8" s="43" customFormat="1" x14ac:dyDescent="0.3">
      <c r="B142" s="45"/>
      <c r="C142" s="45"/>
      <c r="D142" s="127" t="str">
        <f t="shared" si="11"/>
        <v/>
      </c>
      <c r="E142" s="46"/>
      <c r="F142" s="250"/>
      <c r="G142" s="251"/>
      <c r="H142" s="152"/>
    </row>
    <row r="143" spans="2:8" s="43" customFormat="1" ht="15" thickBot="1" x14ac:dyDescent="0.35">
      <c r="B143" s="47"/>
      <c r="C143" s="47"/>
      <c r="D143" s="128" t="str">
        <f t="shared" si="11"/>
        <v/>
      </c>
      <c r="E143" s="48"/>
      <c r="F143" s="254"/>
      <c r="G143" s="255"/>
      <c r="H143" s="152"/>
    </row>
    <row r="144" spans="2:8" s="43" customFormat="1" ht="15" thickBot="1" x14ac:dyDescent="0.35">
      <c r="B144" s="135" t="s">
        <v>64</v>
      </c>
      <c r="C144" s="66">
        <f>SUM(C136:C143)</f>
        <v>48</v>
      </c>
      <c r="D144" s="135" t="str">
        <f xml:space="preserve"> setValueToTime(C144)</f>
        <v>4h</v>
      </c>
      <c r="E144" s="96"/>
      <c r="F144" s="256"/>
      <c r="G144" s="25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11</v>
      </c>
      <c r="D146" s="137"/>
      <c r="E146" s="130" t="s">
        <v>58</v>
      </c>
      <c r="F146" s="131" t="s">
        <v>117</v>
      </c>
      <c r="G146" s="132" t="s">
        <v>79</v>
      </c>
      <c r="H146" s="151"/>
    </row>
    <row r="147" spans="2:8" s="39" customFormat="1" ht="30" customHeight="1" thickBot="1" x14ac:dyDescent="0.3">
      <c r="B147" s="61" t="s">
        <v>59</v>
      </c>
      <c r="C147" s="134" t="s">
        <v>60</v>
      </c>
      <c r="D147" s="133"/>
      <c r="E147" s="61" t="s">
        <v>61</v>
      </c>
      <c r="F147" s="258" t="s">
        <v>62</v>
      </c>
      <c r="G147" s="259"/>
      <c r="H147" s="151"/>
    </row>
    <row r="148" spans="2:8" s="43" customFormat="1" ht="27" x14ac:dyDescent="0.3">
      <c r="B148" s="40" t="s">
        <v>75</v>
      </c>
      <c r="C148" s="41">
        <v>21</v>
      </c>
      <c r="D148" s="125" t="str">
        <f xml:space="preserve"> IF(C148="","",setValueToTime(C148))</f>
        <v>1h 45 min</v>
      </c>
      <c r="E148" s="42" t="s">
        <v>192</v>
      </c>
      <c r="F148" s="261" t="s">
        <v>190</v>
      </c>
      <c r="G148" s="251"/>
      <c r="H148" s="152"/>
    </row>
    <row r="149" spans="2:8" s="43" customFormat="1" x14ac:dyDescent="0.3">
      <c r="B149" s="44" t="s">
        <v>54</v>
      </c>
      <c r="C149" s="45">
        <v>7</v>
      </c>
      <c r="D149" s="126" t="str">
        <f t="shared" ref="D149:D155" si="12" xml:space="preserve"> IF(C149="","",setValueToTime(C149))</f>
        <v xml:space="preserve"> 35 min</v>
      </c>
      <c r="E149" s="46" t="s">
        <v>193</v>
      </c>
      <c r="F149" s="261" t="s">
        <v>194</v>
      </c>
      <c r="G149" s="251"/>
      <c r="H149" s="152"/>
    </row>
    <row r="150" spans="2:8" s="43" customFormat="1" ht="27" x14ac:dyDescent="0.3">
      <c r="B150" s="44" t="s">
        <v>53</v>
      </c>
      <c r="C150" s="45">
        <v>1</v>
      </c>
      <c r="D150" s="126" t="str">
        <f t="shared" si="12"/>
        <v xml:space="preserve"> 5 min</v>
      </c>
      <c r="E150" s="46" t="s">
        <v>169</v>
      </c>
      <c r="F150" s="250"/>
      <c r="G150" s="251"/>
      <c r="H150" s="152"/>
    </row>
    <row r="151" spans="2:8" s="43" customFormat="1" x14ac:dyDescent="0.3">
      <c r="B151" s="44"/>
      <c r="C151" s="45"/>
      <c r="D151" s="126" t="str">
        <f t="shared" si="12"/>
        <v/>
      </c>
      <c r="E151" s="46"/>
      <c r="F151" s="250"/>
      <c r="G151" s="251"/>
      <c r="H151" s="152"/>
    </row>
    <row r="152" spans="2:8" s="43" customFormat="1" x14ac:dyDescent="0.3">
      <c r="B152" s="45"/>
      <c r="C152" s="45"/>
      <c r="D152" s="127" t="str">
        <f t="shared" si="12"/>
        <v/>
      </c>
      <c r="E152" s="46"/>
      <c r="F152" s="250"/>
      <c r="G152" s="251"/>
      <c r="H152" s="152"/>
    </row>
    <row r="153" spans="2:8" s="43" customFormat="1" x14ac:dyDescent="0.3">
      <c r="B153" s="45"/>
      <c r="C153" s="45"/>
      <c r="D153" s="127" t="str">
        <f t="shared" si="12"/>
        <v/>
      </c>
      <c r="E153" s="46"/>
      <c r="F153" s="250"/>
      <c r="G153" s="251"/>
      <c r="H153" s="152"/>
    </row>
    <row r="154" spans="2:8" s="43" customFormat="1" x14ac:dyDescent="0.3">
      <c r="B154" s="45"/>
      <c r="C154" s="45"/>
      <c r="D154" s="127" t="str">
        <f t="shared" si="12"/>
        <v/>
      </c>
      <c r="E154" s="46"/>
      <c r="F154" s="250"/>
      <c r="G154" s="251"/>
      <c r="H154" s="152"/>
    </row>
    <row r="155" spans="2:8" s="43" customFormat="1" ht="15" thickBot="1" x14ac:dyDescent="0.35">
      <c r="B155" s="47"/>
      <c r="C155" s="47"/>
      <c r="D155" s="128" t="str">
        <f t="shared" si="12"/>
        <v/>
      </c>
      <c r="E155" s="48"/>
      <c r="F155" s="254"/>
      <c r="G155" s="255"/>
      <c r="H155" s="152"/>
    </row>
    <row r="156" spans="2:8" s="43" customFormat="1" ht="15" thickBot="1" x14ac:dyDescent="0.35">
      <c r="B156" s="135" t="s">
        <v>64</v>
      </c>
      <c r="C156" s="66">
        <f>SUM(C148:C155)</f>
        <v>29</v>
      </c>
      <c r="D156" s="135" t="str">
        <f xml:space="preserve"> setValueToTime(C156)</f>
        <v>2h 25 min</v>
      </c>
      <c r="E156" s="96"/>
      <c r="F156" s="256"/>
      <c r="G156" s="25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10</v>
      </c>
      <c r="D158" s="137"/>
      <c r="E158" s="130" t="s">
        <v>58</v>
      </c>
      <c r="F158" s="131" t="s">
        <v>117</v>
      </c>
      <c r="G158" s="132" t="s">
        <v>78</v>
      </c>
      <c r="H158" s="151"/>
    </row>
    <row r="159" spans="2:8" s="39" customFormat="1" ht="30" customHeight="1" thickBot="1" x14ac:dyDescent="0.3">
      <c r="B159" s="61" t="s">
        <v>59</v>
      </c>
      <c r="C159" s="134" t="s">
        <v>60</v>
      </c>
      <c r="D159" s="133"/>
      <c r="E159" s="61" t="s">
        <v>61</v>
      </c>
      <c r="F159" s="258" t="s">
        <v>62</v>
      </c>
      <c r="G159" s="259"/>
      <c r="H159" s="151"/>
    </row>
    <row r="160" spans="2:8" s="43" customFormat="1" x14ac:dyDescent="0.3">
      <c r="B160" s="40" t="s">
        <v>54</v>
      </c>
      <c r="C160" s="41">
        <v>9</v>
      </c>
      <c r="D160" s="125" t="str">
        <f xml:space="preserve"> IF(C160="","",setValueToTime(C160))</f>
        <v xml:space="preserve"> 45 min</v>
      </c>
      <c r="E160" s="42" t="s">
        <v>167</v>
      </c>
      <c r="F160" s="260" t="s">
        <v>194</v>
      </c>
      <c r="G160" s="249"/>
      <c r="H160" s="152"/>
    </row>
    <row r="161" spans="2:8" s="43" customFormat="1" ht="27" x14ac:dyDescent="0.3">
      <c r="B161" s="44" t="s">
        <v>74</v>
      </c>
      <c r="C161" s="45">
        <v>10</v>
      </c>
      <c r="D161" s="126" t="str">
        <f t="shared" ref="D161:D167" si="13" xml:space="preserve"> IF(C161="","",setValueToTime(C161))</f>
        <v xml:space="preserve"> 50 min</v>
      </c>
      <c r="E161" s="46" t="s">
        <v>165</v>
      </c>
      <c r="F161" s="250" t="s">
        <v>211</v>
      </c>
      <c r="G161" s="251"/>
      <c r="H161" s="152"/>
    </row>
    <row r="162" spans="2:8" s="43" customFormat="1" ht="27" x14ac:dyDescent="0.3">
      <c r="B162" s="44" t="s">
        <v>71</v>
      </c>
      <c r="C162" s="45">
        <v>5</v>
      </c>
      <c r="D162" s="126" t="str">
        <f t="shared" si="13"/>
        <v xml:space="preserve"> 25 min</v>
      </c>
      <c r="E162" s="46" t="s">
        <v>166</v>
      </c>
      <c r="F162" s="261" t="s">
        <v>195</v>
      </c>
      <c r="G162" s="251"/>
      <c r="H162" s="152"/>
    </row>
    <row r="163" spans="2:8" s="43" customFormat="1" ht="27" x14ac:dyDescent="0.3">
      <c r="B163" s="44" t="s">
        <v>75</v>
      </c>
      <c r="C163" s="45">
        <v>13</v>
      </c>
      <c r="D163" s="126" t="str">
        <f t="shared" si="13"/>
        <v>1h 5 min</v>
      </c>
      <c r="E163" s="46" t="s">
        <v>191</v>
      </c>
      <c r="F163" s="261" t="s">
        <v>190</v>
      </c>
      <c r="G163" s="251"/>
      <c r="H163" s="152"/>
    </row>
    <row r="164" spans="2:8" s="43" customFormat="1" ht="27" x14ac:dyDescent="0.3">
      <c r="B164" s="45" t="s">
        <v>53</v>
      </c>
      <c r="C164" s="45">
        <v>1</v>
      </c>
      <c r="D164" s="127" t="str">
        <f t="shared" si="13"/>
        <v xml:space="preserve"> 5 min</v>
      </c>
      <c r="E164" s="46" t="s">
        <v>169</v>
      </c>
      <c r="F164" s="250"/>
      <c r="G164" s="251"/>
      <c r="H164" s="152"/>
    </row>
    <row r="165" spans="2:8" s="43" customFormat="1" x14ac:dyDescent="0.3">
      <c r="B165" s="45"/>
      <c r="C165" s="45"/>
      <c r="D165" s="127" t="str">
        <f t="shared" si="13"/>
        <v/>
      </c>
      <c r="E165" s="46"/>
      <c r="F165" s="250"/>
      <c r="G165" s="251"/>
      <c r="H165" s="152"/>
    </row>
    <row r="166" spans="2:8" s="43" customFormat="1" x14ac:dyDescent="0.3">
      <c r="B166" s="45"/>
      <c r="C166" s="45"/>
      <c r="D166" s="127" t="str">
        <f t="shared" si="13"/>
        <v/>
      </c>
      <c r="E166" s="46"/>
      <c r="F166" s="250"/>
      <c r="G166" s="251"/>
      <c r="H166" s="152"/>
    </row>
    <row r="167" spans="2:8" s="43" customFormat="1" ht="15" thickBot="1" x14ac:dyDescent="0.35">
      <c r="B167" s="47"/>
      <c r="C167" s="47"/>
      <c r="D167" s="128" t="str">
        <f t="shared" si="13"/>
        <v/>
      </c>
      <c r="E167" s="48"/>
      <c r="F167" s="254"/>
      <c r="G167" s="255"/>
      <c r="H167" s="152"/>
    </row>
    <row r="168" spans="2:8" s="43" customFormat="1" ht="15" thickBot="1" x14ac:dyDescent="0.35">
      <c r="B168" s="135" t="s">
        <v>64</v>
      </c>
      <c r="C168" s="66">
        <f>SUM(C160:C167)</f>
        <v>38</v>
      </c>
      <c r="D168" s="135" t="str">
        <f xml:space="preserve"> setValueToTime(C168)</f>
        <v>3h 10 min</v>
      </c>
      <c r="E168" s="96"/>
      <c r="F168" s="256"/>
      <c r="G168" s="25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9</v>
      </c>
      <c r="D170" s="137"/>
      <c r="E170" s="130" t="s">
        <v>58</v>
      </c>
      <c r="F170" s="131" t="s">
        <v>118</v>
      </c>
      <c r="G170" s="132" t="s">
        <v>79</v>
      </c>
      <c r="H170" s="151"/>
    </row>
    <row r="171" spans="2:8" s="39" customFormat="1" ht="30" customHeight="1" thickBot="1" x14ac:dyDescent="0.3">
      <c r="B171" s="61" t="s">
        <v>59</v>
      </c>
      <c r="C171" s="134" t="s">
        <v>60</v>
      </c>
      <c r="D171" s="133"/>
      <c r="E171" s="61" t="s">
        <v>61</v>
      </c>
      <c r="F171" s="258" t="s">
        <v>62</v>
      </c>
      <c r="G171" s="259"/>
      <c r="H171" s="151"/>
    </row>
    <row r="172" spans="2:8" s="43" customFormat="1" ht="40.5" x14ac:dyDescent="0.3">
      <c r="B172" s="40" t="s">
        <v>77</v>
      </c>
      <c r="C172" s="41">
        <v>5</v>
      </c>
      <c r="D172" s="125" t="str">
        <f xml:space="preserve"> IF(C172="","",setValueToTime(C172))</f>
        <v xml:space="preserve"> 25 min</v>
      </c>
      <c r="E172" s="42" t="s">
        <v>168</v>
      </c>
      <c r="F172" s="260"/>
      <c r="G172" s="249"/>
      <c r="H172" s="152"/>
    </row>
    <row r="173" spans="2:8" s="43" customFormat="1" ht="67.5" x14ac:dyDescent="0.3">
      <c r="B173" s="44" t="s">
        <v>102</v>
      </c>
      <c r="C173" s="45">
        <v>25</v>
      </c>
      <c r="D173" s="126" t="str">
        <f t="shared" ref="D173:D179" si="14" xml:space="preserve"> IF(C173="","",setValueToTime(C173))</f>
        <v>2h 5 min</v>
      </c>
      <c r="E173" s="46" t="s">
        <v>162</v>
      </c>
      <c r="F173" s="261" t="s">
        <v>163</v>
      </c>
      <c r="G173" s="251"/>
      <c r="H173" s="152"/>
    </row>
    <row r="174" spans="2:8" s="43" customFormat="1" x14ac:dyDescent="0.3">
      <c r="B174" s="44" t="s">
        <v>54</v>
      </c>
      <c r="C174" s="45">
        <v>7</v>
      </c>
      <c r="D174" s="126" t="str">
        <f t="shared" si="14"/>
        <v xml:space="preserve"> 35 min</v>
      </c>
      <c r="E174" s="46" t="s">
        <v>164</v>
      </c>
      <c r="F174" s="250"/>
      <c r="G174" s="251"/>
      <c r="H174" s="152"/>
    </row>
    <row r="175" spans="2:8" s="43" customFormat="1" ht="27" x14ac:dyDescent="0.3">
      <c r="B175" s="44" t="s">
        <v>53</v>
      </c>
      <c r="C175" s="45">
        <v>1</v>
      </c>
      <c r="D175" s="126" t="str">
        <f t="shared" si="14"/>
        <v xml:space="preserve"> 5 min</v>
      </c>
      <c r="E175" s="46" t="s">
        <v>169</v>
      </c>
      <c r="F175" s="250"/>
      <c r="G175" s="251"/>
      <c r="H175" s="152"/>
    </row>
    <row r="176" spans="2:8" s="43" customFormat="1" x14ac:dyDescent="0.3">
      <c r="B176" s="45"/>
      <c r="C176" s="45"/>
      <c r="D176" s="127" t="str">
        <f t="shared" si="14"/>
        <v/>
      </c>
      <c r="E176" s="46"/>
      <c r="F176" s="250"/>
      <c r="G176" s="251"/>
      <c r="H176" s="152"/>
    </row>
    <row r="177" spans="2:8" s="43" customFormat="1" x14ac:dyDescent="0.3">
      <c r="B177" s="45"/>
      <c r="C177" s="45"/>
      <c r="D177" s="127" t="str">
        <f t="shared" si="14"/>
        <v/>
      </c>
      <c r="E177" s="46"/>
      <c r="F177" s="250"/>
      <c r="G177" s="251"/>
      <c r="H177" s="152"/>
    </row>
    <row r="178" spans="2:8" s="43" customFormat="1" x14ac:dyDescent="0.3">
      <c r="B178" s="45"/>
      <c r="C178" s="45"/>
      <c r="D178" s="127" t="str">
        <f t="shared" si="14"/>
        <v/>
      </c>
      <c r="E178" s="46"/>
      <c r="F178" s="250"/>
      <c r="G178" s="251"/>
      <c r="H178" s="152"/>
    </row>
    <row r="179" spans="2:8" s="43" customFormat="1" ht="15" thickBot="1" x14ac:dyDescent="0.35">
      <c r="B179" s="47"/>
      <c r="C179" s="47"/>
      <c r="D179" s="128" t="str">
        <f t="shared" si="14"/>
        <v/>
      </c>
      <c r="E179" s="48"/>
      <c r="F179" s="254"/>
      <c r="G179" s="255"/>
      <c r="H179" s="152"/>
    </row>
    <row r="180" spans="2:8" s="43" customFormat="1" ht="15" thickBot="1" x14ac:dyDescent="0.35">
      <c r="B180" s="135" t="s">
        <v>64</v>
      </c>
      <c r="C180" s="66">
        <f>SUM(C172:C179)</f>
        <v>38</v>
      </c>
      <c r="D180" s="135" t="str">
        <f xml:space="preserve"> setValueToTime(C180)</f>
        <v>3h 10 min</v>
      </c>
      <c r="E180" s="96"/>
      <c r="F180" s="256"/>
      <c r="G180" s="25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8</v>
      </c>
      <c r="D182" s="137"/>
      <c r="E182" s="130" t="s">
        <v>58</v>
      </c>
      <c r="F182" s="131" t="s">
        <v>118</v>
      </c>
      <c r="G182" s="132" t="s">
        <v>78</v>
      </c>
      <c r="H182" s="151"/>
    </row>
    <row r="183" spans="2:8" s="39" customFormat="1" ht="30" customHeight="1" thickBot="1" x14ac:dyDescent="0.3">
      <c r="B183" s="61" t="s">
        <v>59</v>
      </c>
      <c r="C183" s="134" t="s">
        <v>60</v>
      </c>
      <c r="D183" s="133"/>
      <c r="E183" s="61" t="s">
        <v>61</v>
      </c>
      <c r="F183" s="258" t="s">
        <v>62</v>
      </c>
      <c r="G183" s="259"/>
      <c r="H183" s="151"/>
    </row>
    <row r="184" spans="2:8" s="43" customFormat="1" x14ac:dyDescent="0.3">
      <c r="B184" s="40" t="s">
        <v>85</v>
      </c>
      <c r="C184" s="41">
        <v>27</v>
      </c>
      <c r="D184" s="125" t="str">
        <f xml:space="preserve"> IF(C184="","",setValueToTime(C184))</f>
        <v>2h 15 min</v>
      </c>
      <c r="E184" s="42" t="s">
        <v>170</v>
      </c>
      <c r="F184" s="248"/>
      <c r="G184" s="249"/>
      <c r="H184" s="152"/>
    </row>
    <row r="185" spans="2:8" s="43" customFormat="1" ht="24" customHeight="1" x14ac:dyDescent="0.3">
      <c r="B185" s="44" t="s">
        <v>71</v>
      </c>
      <c r="C185" s="45">
        <v>20</v>
      </c>
      <c r="D185" s="126" t="str">
        <f t="shared" ref="D185:D191" si="15" xml:space="preserve"> IF(C185="","",setValueToTime(C185))</f>
        <v>1h 40 min</v>
      </c>
      <c r="E185" s="46" t="s">
        <v>171</v>
      </c>
      <c r="F185" s="261" t="s">
        <v>161</v>
      </c>
      <c r="G185" s="251"/>
      <c r="H185" s="152"/>
    </row>
    <row r="186" spans="2:8" s="43" customFormat="1" ht="27" x14ac:dyDescent="0.3">
      <c r="B186" s="44" t="s">
        <v>53</v>
      </c>
      <c r="C186" s="45">
        <v>1</v>
      </c>
      <c r="D186" s="126" t="str">
        <f t="shared" si="15"/>
        <v xml:space="preserve"> 5 min</v>
      </c>
      <c r="E186" s="46" t="s">
        <v>169</v>
      </c>
      <c r="F186" s="250"/>
      <c r="G186" s="251"/>
      <c r="H186" s="152"/>
    </row>
    <row r="187" spans="2:8" s="43" customFormat="1" x14ac:dyDescent="0.3">
      <c r="B187" s="44"/>
      <c r="C187" s="45"/>
      <c r="D187" s="126" t="str">
        <f t="shared" si="15"/>
        <v/>
      </c>
      <c r="E187" s="46"/>
      <c r="F187" s="250"/>
      <c r="G187" s="251"/>
      <c r="H187" s="152"/>
    </row>
    <row r="188" spans="2:8" s="43" customFormat="1" x14ac:dyDescent="0.3">
      <c r="B188" s="45"/>
      <c r="C188" s="45"/>
      <c r="D188" s="127" t="str">
        <f t="shared" si="15"/>
        <v/>
      </c>
      <c r="E188" s="46"/>
      <c r="F188" s="250"/>
      <c r="G188" s="251"/>
      <c r="H188" s="152"/>
    </row>
    <row r="189" spans="2:8" s="43" customFormat="1" x14ac:dyDescent="0.3">
      <c r="B189" s="45"/>
      <c r="C189" s="45"/>
      <c r="D189" s="127" t="str">
        <f t="shared" si="15"/>
        <v/>
      </c>
      <c r="E189" s="46"/>
      <c r="F189" s="250"/>
      <c r="G189" s="251"/>
      <c r="H189" s="152"/>
    </row>
    <row r="190" spans="2:8" s="43" customFormat="1" x14ac:dyDescent="0.3">
      <c r="B190" s="45"/>
      <c r="C190" s="45"/>
      <c r="D190" s="127" t="str">
        <f t="shared" si="15"/>
        <v/>
      </c>
      <c r="E190" s="46"/>
      <c r="F190" s="250"/>
      <c r="G190" s="251"/>
      <c r="H190" s="152"/>
    </row>
    <row r="191" spans="2:8" s="43" customFormat="1" ht="15" thickBot="1" x14ac:dyDescent="0.35">
      <c r="B191" s="47"/>
      <c r="C191" s="47"/>
      <c r="D191" s="128" t="str">
        <f t="shared" si="15"/>
        <v/>
      </c>
      <c r="E191" s="48"/>
      <c r="F191" s="254"/>
      <c r="G191" s="255"/>
      <c r="H191" s="152"/>
    </row>
    <row r="192" spans="2:8" s="43" customFormat="1" ht="15" thickBot="1" x14ac:dyDescent="0.35">
      <c r="B192" s="135" t="s">
        <v>64</v>
      </c>
      <c r="C192" s="66">
        <f>SUM(C184:C191)</f>
        <v>48</v>
      </c>
      <c r="D192" s="135" t="str">
        <f xml:space="preserve"> setValueToTime(C192)</f>
        <v>4h</v>
      </c>
      <c r="E192" s="96"/>
      <c r="F192" s="256"/>
      <c r="G192" s="257"/>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7</v>
      </c>
      <c r="D194" s="137"/>
      <c r="E194" s="130" t="s">
        <v>58</v>
      </c>
      <c r="F194" s="131" t="s">
        <v>119</v>
      </c>
      <c r="G194" s="132" t="s">
        <v>79</v>
      </c>
      <c r="H194" s="151"/>
    </row>
    <row r="195" spans="2:8" s="39" customFormat="1" ht="30" customHeight="1" thickBot="1" x14ac:dyDescent="0.3">
      <c r="B195" s="61" t="s">
        <v>59</v>
      </c>
      <c r="C195" s="134" t="s">
        <v>60</v>
      </c>
      <c r="D195" s="133"/>
      <c r="E195" s="61" t="s">
        <v>61</v>
      </c>
      <c r="F195" s="258" t="s">
        <v>62</v>
      </c>
      <c r="G195" s="259"/>
      <c r="H195" s="151"/>
    </row>
    <row r="196" spans="2:8" s="43" customFormat="1" ht="27" x14ac:dyDescent="0.3">
      <c r="B196" s="40" t="s">
        <v>54</v>
      </c>
      <c r="C196" s="41">
        <v>10</v>
      </c>
      <c r="D196" s="125" t="str">
        <f xml:space="preserve"> IF(C196="","",setValueToTime(C196))</f>
        <v xml:space="preserve"> 50 min</v>
      </c>
      <c r="E196" s="42" t="s">
        <v>159</v>
      </c>
      <c r="F196" s="248"/>
      <c r="G196" s="249"/>
      <c r="H196" s="152"/>
    </row>
    <row r="197" spans="2:8" s="43" customFormat="1" ht="94.5" customHeight="1" x14ac:dyDescent="0.3">
      <c r="B197" s="44" t="s">
        <v>102</v>
      </c>
      <c r="C197" s="45">
        <v>24</v>
      </c>
      <c r="D197" s="126" t="str">
        <f t="shared" ref="D197:D203" si="16" xml:space="preserve"> IF(C197="","",setValueToTime(C197))</f>
        <v>2h</v>
      </c>
      <c r="E197" s="46" t="s">
        <v>172</v>
      </c>
      <c r="F197" s="261" t="s">
        <v>160</v>
      </c>
      <c r="G197" s="251"/>
      <c r="H197" s="152"/>
    </row>
    <row r="198" spans="2:8" s="43" customFormat="1" ht="27" x14ac:dyDescent="0.3">
      <c r="B198" s="44" t="s">
        <v>70</v>
      </c>
      <c r="C198" s="45">
        <v>3</v>
      </c>
      <c r="D198" s="126" t="str">
        <f t="shared" si="16"/>
        <v xml:space="preserve"> 15 min</v>
      </c>
      <c r="E198" s="46" t="s">
        <v>173</v>
      </c>
      <c r="F198" s="250"/>
      <c r="G198" s="251"/>
      <c r="H198" s="152"/>
    </row>
    <row r="199" spans="2:8" s="43" customFormat="1" ht="27" x14ac:dyDescent="0.3">
      <c r="B199" s="44" t="s">
        <v>53</v>
      </c>
      <c r="C199" s="45">
        <v>1</v>
      </c>
      <c r="D199" s="126" t="str">
        <f t="shared" si="16"/>
        <v xml:space="preserve"> 5 min</v>
      </c>
      <c r="E199" s="46" t="s">
        <v>169</v>
      </c>
      <c r="F199" s="250"/>
      <c r="G199" s="251"/>
      <c r="H199" s="152"/>
    </row>
    <row r="200" spans="2:8" s="43" customFormat="1" x14ac:dyDescent="0.3">
      <c r="B200" s="45"/>
      <c r="C200" s="45"/>
      <c r="D200" s="127" t="str">
        <f t="shared" si="16"/>
        <v/>
      </c>
      <c r="E200" s="46"/>
      <c r="F200" s="250"/>
      <c r="G200" s="251"/>
      <c r="H200" s="152"/>
    </row>
    <row r="201" spans="2:8" s="43" customFormat="1" x14ac:dyDescent="0.3">
      <c r="B201" s="45"/>
      <c r="C201" s="45"/>
      <c r="D201" s="127" t="str">
        <f t="shared" si="16"/>
        <v/>
      </c>
      <c r="E201" s="46"/>
      <c r="F201" s="250"/>
      <c r="G201" s="251"/>
      <c r="H201" s="152"/>
    </row>
    <row r="202" spans="2:8" s="43" customFormat="1" x14ac:dyDescent="0.3">
      <c r="B202" s="45"/>
      <c r="C202" s="45"/>
      <c r="D202" s="127" t="str">
        <f t="shared" si="16"/>
        <v/>
      </c>
      <c r="E202" s="46"/>
      <c r="F202" s="250"/>
      <c r="G202" s="251"/>
      <c r="H202" s="152"/>
    </row>
    <row r="203" spans="2:8" s="43" customFormat="1" ht="15" thickBot="1" x14ac:dyDescent="0.35">
      <c r="B203" s="47"/>
      <c r="C203" s="47"/>
      <c r="D203" s="128" t="str">
        <f t="shared" si="16"/>
        <v/>
      </c>
      <c r="E203" s="48"/>
      <c r="F203" s="254"/>
      <c r="G203" s="255"/>
      <c r="H203" s="152"/>
    </row>
    <row r="204" spans="2:8" s="43" customFormat="1" ht="15" thickBot="1" x14ac:dyDescent="0.35">
      <c r="B204" s="135" t="s">
        <v>64</v>
      </c>
      <c r="C204" s="66">
        <f>SUM(C196:C203)</f>
        <v>38</v>
      </c>
      <c r="D204" s="135" t="str">
        <f xml:space="preserve"> setValueToTime(C204)</f>
        <v>3h 10 min</v>
      </c>
      <c r="E204" s="96"/>
      <c r="F204" s="256"/>
      <c r="G204" s="257"/>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6</v>
      </c>
      <c r="D206" s="137"/>
      <c r="E206" s="130" t="s">
        <v>58</v>
      </c>
      <c r="F206" s="131" t="s">
        <v>120</v>
      </c>
      <c r="G206" s="132" t="s">
        <v>79</v>
      </c>
      <c r="H206" s="151"/>
    </row>
    <row r="207" spans="2:8" s="39" customFormat="1" ht="30" customHeight="1" thickBot="1" x14ac:dyDescent="0.3">
      <c r="B207" s="61" t="s">
        <v>59</v>
      </c>
      <c r="C207" s="134" t="s">
        <v>60</v>
      </c>
      <c r="D207" s="133"/>
      <c r="E207" s="61" t="s">
        <v>61</v>
      </c>
      <c r="F207" s="258" t="s">
        <v>62</v>
      </c>
      <c r="G207" s="259"/>
      <c r="H207" s="151"/>
    </row>
    <row r="208" spans="2:8" s="43" customFormat="1" x14ac:dyDescent="0.3">
      <c r="B208" s="40" t="s">
        <v>54</v>
      </c>
      <c r="C208" s="41">
        <v>20</v>
      </c>
      <c r="D208" s="125" t="str">
        <f xml:space="preserve"> IF(C208="","",setValueToTime(C208))</f>
        <v>1h 40 min</v>
      </c>
      <c r="E208" s="42" t="s">
        <v>176</v>
      </c>
      <c r="F208" s="248"/>
      <c r="G208" s="249"/>
      <c r="H208" s="152"/>
    </row>
    <row r="209" spans="2:8" s="43" customFormat="1" ht="27" x14ac:dyDescent="0.3">
      <c r="B209" s="44" t="s">
        <v>52</v>
      </c>
      <c r="C209" s="45">
        <v>12</v>
      </c>
      <c r="D209" s="126" t="str">
        <f t="shared" ref="D209:D215" si="17" xml:space="preserve"> IF(C209="","",setValueToTime(C209))</f>
        <v>1h</v>
      </c>
      <c r="E209" s="46" t="s">
        <v>175</v>
      </c>
      <c r="F209" s="250"/>
      <c r="G209" s="251"/>
      <c r="H209" s="152"/>
    </row>
    <row r="210" spans="2:8" s="43" customFormat="1" ht="27" x14ac:dyDescent="0.3">
      <c r="B210" s="44" t="s">
        <v>81</v>
      </c>
      <c r="C210" s="45">
        <v>5</v>
      </c>
      <c r="D210" s="126" t="str">
        <f t="shared" si="17"/>
        <v xml:space="preserve"> 25 min</v>
      </c>
      <c r="E210" s="46" t="s">
        <v>174</v>
      </c>
      <c r="F210" s="250"/>
      <c r="G210" s="251"/>
      <c r="H210" s="152"/>
    </row>
    <row r="211" spans="2:8" s="43" customFormat="1" ht="27" x14ac:dyDescent="0.3">
      <c r="B211" s="44" t="s">
        <v>53</v>
      </c>
      <c r="C211" s="45">
        <v>1</v>
      </c>
      <c r="D211" s="126" t="str">
        <f t="shared" si="17"/>
        <v xml:space="preserve"> 5 min</v>
      </c>
      <c r="E211" s="46" t="s">
        <v>169</v>
      </c>
      <c r="F211" s="250"/>
      <c r="G211" s="251"/>
      <c r="H211" s="152"/>
    </row>
    <row r="212" spans="2:8" s="43" customFormat="1" x14ac:dyDescent="0.3">
      <c r="B212" s="45"/>
      <c r="C212" s="45"/>
      <c r="D212" s="127" t="str">
        <f t="shared" si="17"/>
        <v/>
      </c>
      <c r="E212" s="46"/>
      <c r="F212" s="250"/>
      <c r="G212" s="251"/>
      <c r="H212" s="152"/>
    </row>
    <row r="213" spans="2:8" s="43" customFormat="1" x14ac:dyDescent="0.3">
      <c r="B213" s="45"/>
      <c r="C213" s="45"/>
      <c r="D213" s="127" t="str">
        <f t="shared" si="17"/>
        <v/>
      </c>
      <c r="E213" s="46"/>
      <c r="F213" s="250"/>
      <c r="G213" s="251"/>
      <c r="H213" s="152"/>
    </row>
    <row r="214" spans="2:8" s="43" customFormat="1" x14ac:dyDescent="0.3">
      <c r="B214" s="45"/>
      <c r="C214" s="45"/>
      <c r="D214" s="127" t="str">
        <f t="shared" si="17"/>
        <v/>
      </c>
      <c r="E214" s="46"/>
      <c r="F214" s="250"/>
      <c r="G214" s="251"/>
      <c r="H214" s="152"/>
    </row>
    <row r="215" spans="2:8" s="43" customFormat="1" ht="15" thickBot="1" x14ac:dyDescent="0.35">
      <c r="B215" s="47"/>
      <c r="C215" s="47"/>
      <c r="D215" s="128" t="str">
        <f t="shared" si="17"/>
        <v/>
      </c>
      <c r="E215" s="48"/>
      <c r="F215" s="254"/>
      <c r="G215" s="255"/>
      <c r="H215" s="152"/>
    </row>
    <row r="216" spans="2:8" s="43" customFormat="1" ht="15" thickBot="1" x14ac:dyDescent="0.35">
      <c r="B216" s="135" t="s">
        <v>64</v>
      </c>
      <c r="C216" s="66">
        <f>SUM(C208:C215)</f>
        <v>38</v>
      </c>
      <c r="D216" s="135" t="str">
        <f xml:space="preserve"> setValueToTime(C216)</f>
        <v>3h 10 min</v>
      </c>
      <c r="E216" s="96"/>
      <c r="F216" s="256"/>
      <c r="G216" s="257"/>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5</v>
      </c>
      <c r="D218" s="137"/>
      <c r="E218" s="130" t="s">
        <v>58</v>
      </c>
      <c r="F218" s="131" t="s">
        <v>120</v>
      </c>
      <c r="G218" s="132" t="s">
        <v>78</v>
      </c>
      <c r="H218" s="151"/>
    </row>
    <row r="219" spans="2:8" s="39" customFormat="1" ht="30" customHeight="1" thickBot="1" x14ac:dyDescent="0.3">
      <c r="B219" s="61" t="s">
        <v>59</v>
      </c>
      <c r="C219" s="134" t="s">
        <v>60</v>
      </c>
      <c r="D219" s="133"/>
      <c r="E219" s="61" t="s">
        <v>61</v>
      </c>
      <c r="F219" s="258" t="s">
        <v>62</v>
      </c>
      <c r="G219" s="259"/>
      <c r="H219" s="151"/>
    </row>
    <row r="220" spans="2:8" s="43" customFormat="1" ht="27" x14ac:dyDescent="0.3">
      <c r="B220" s="40" t="s">
        <v>54</v>
      </c>
      <c r="C220" s="41">
        <v>25</v>
      </c>
      <c r="D220" s="125" t="str">
        <f xml:space="preserve"> IF(C220="","",setValueToTime(C220))</f>
        <v>2h 5 min</v>
      </c>
      <c r="E220" s="42" t="s">
        <v>156</v>
      </c>
      <c r="F220" s="248"/>
      <c r="G220" s="249"/>
      <c r="H220" s="152"/>
    </row>
    <row r="221" spans="2:8" s="43" customFormat="1" ht="27" x14ac:dyDescent="0.3">
      <c r="B221" s="44" t="s">
        <v>81</v>
      </c>
      <c r="C221" s="45">
        <v>13</v>
      </c>
      <c r="D221" s="126" t="str">
        <f t="shared" ref="D221:D227" si="18" xml:space="preserve"> IF(C221="","",setValueToTime(C221))</f>
        <v>1h 5 min</v>
      </c>
      <c r="E221" s="46" t="s">
        <v>157</v>
      </c>
      <c r="F221" s="250"/>
      <c r="G221" s="251"/>
      <c r="H221" s="152"/>
    </row>
    <row r="222" spans="2:8" s="43" customFormat="1" x14ac:dyDescent="0.3">
      <c r="B222" s="44" t="s">
        <v>71</v>
      </c>
      <c r="C222" s="45">
        <v>9</v>
      </c>
      <c r="D222" s="126" t="str">
        <f t="shared" si="18"/>
        <v xml:space="preserve"> 45 min</v>
      </c>
      <c r="E222" s="46" t="s">
        <v>177</v>
      </c>
      <c r="F222" s="261" t="s">
        <v>158</v>
      </c>
      <c r="G222" s="251"/>
      <c r="H222" s="152"/>
    </row>
    <row r="223" spans="2:8" s="43" customFormat="1" ht="27" x14ac:dyDescent="0.3">
      <c r="B223" s="44" t="s">
        <v>53</v>
      </c>
      <c r="C223" s="45">
        <v>1</v>
      </c>
      <c r="D223" s="126" t="str">
        <f t="shared" si="18"/>
        <v xml:space="preserve"> 5 min</v>
      </c>
      <c r="E223" s="46" t="s">
        <v>169</v>
      </c>
      <c r="F223" s="250"/>
      <c r="G223" s="251"/>
      <c r="H223" s="152"/>
    </row>
    <row r="224" spans="2:8" s="43" customFormat="1" x14ac:dyDescent="0.3">
      <c r="B224" s="45"/>
      <c r="C224" s="45"/>
      <c r="D224" s="127" t="str">
        <f t="shared" si="18"/>
        <v/>
      </c>
      <c r="E224" s="46"/>
      <c r="F224" s="250"/>
      <c r="G224" s="251"/>
      <c r="H224" s="152"/>
    </row>
    <row r="225" spans="2:8" s="43" customFormat="1" x14ac:dyDescent="0.3">
      <c r="B225" s="45"/>
      <c r="C225" s="45"/>
      <c r="D225" s="127" t="str">
        <f t="shared" si="18"/>
        <v/>
      </c>
      <c r="E225" s="46"/>
      <c r="F225" s="250"/>
      <c r="G225" s="251"/>
      <c r="H225" s="152"/>
    </row>
    <row r="226" spans="2:8" s="43" customFormat="1" x14ac:dyDescent="0.3">
      <c r="B226" s="45"/>
      <c r="C226" s="45"/>
      <c r="D226" s="127" t="str">
        <f t="shared" si="18"/>
        <v/>
      </c>
      <c r="E226" s="46"/>
      <c r="F226" s="250"/>
      <c r="G226" s="251"/>
      <c r="H226" s="152"/>
    </row>
    <row r="227" spans="2:8" s="43" customFormat="1" ht="15" thickBot="1" x14ac:dyDescent="0.35">
      <c r="B227" s="47"/>
      <c r="C227" s="47"/>
      <c r="D227" s="128" t="str">
        <f t="shared" si="18"/>
        <v/>
      </c>
      <c r="E227" s="48"/>
      <c r="F227" s="254"/>
      <c r="G227" s="255"/>
      <c r="H227" s="152"/>
    </row>
    <row r="228" spans="2:8" s="43" customFormat="1" ht="15" thickBot="1" x14ac:dyDescent="0.35">
      <c r="B228" s="135" t="s">
        <v>64</v>
      </c>
      <c r="C228" s="66">
        <f>SUM(C220:C227)</f>
        <v>48</v>
      </c>
      <c r="D228" s="135" t="str">
        <f xml:space="preserve"> setValueToTime(C228)</f>
        <v>4h</v>
      </c>
      <c r="E228" s="96"/>
      <c r="F228" s="256"/>
      <c r="G228" s="257"/>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4</v>
      </c>
      <c r="D230" s="137"/>
      <c r="E230" s="130" t="s">
        <v>58</v>
      </c>
      <c r="F230" s="131" t="s">
        <v>121</v>
      </c>
      <c r="G230" s="132" t="s">
        <v>79</v>
      </c>
      <c r="H230" s="151"/>
    </row>
    <row r="231" spans="2:8" s="39" customFormat="1" ht="30" customHeight="1" thickBot="1" x14ac:dyDescent="0.3">
      <c r="B231" s="61" t="s">
        <v>59</v>
      </c>
      <c r="C231" s="134" t="s">
        <v>60</v>
      </c>
      <c r="D231" s="133"/>
      <c r="E231" s="61" t="s">
        <v>61</v>
      </c>
      <c r="F231" s="258" t="s">
        <v>62</v>
      </c>
      <c r="G231" s="259"/>
      <c r="H231" s="151"/>
    </row>
    <row r="232" spans="2:8" s="43" customFormat="1" ht="27" x14ac:dyDescent="0.3">
      <c r="B232" s="40" t="s">
        <v>70</v>
      </c>
      <c r="C232" s="41">
        <v>6</v>
      </c>
      <c r="D232" s="125" t="str">
        <f xml:space="preserve"> IF(C232="","",setValueToTime(C232))</f>
        <v xml:space="preserve"> 30 min</v>
      </c>
      <c r="E232" s="207" t="s">
        <v>178</v>
      </c>
      <c r="F232" s="248"/>
      <c r="G232" s="249"/>
      <c r="H232" s="152"/>
    </row>
    <row r="233" spans="2:8" s="43" customFormat="1" ht="27" x14ac:dyDescent="0.3">
      <c r="B233" s="44" t="s">
        <v>52</v>
      </c>
      <c r="C233" s="45">
        <v>13</v>
      </c>
      <c r="D233" s="126" t="str">
        <f t="shared" ref="D233:D239" si="19" xml:space="preserve"> IF(C233="","",setValueToTime(C233))</f>
        <v>1h 5 min</v>
      </c>
      <c r="E233" s="206" t="s">
        <v>179</v>
      </c>
      <c r="F233" s="250"/>
      <c r="G233" s="251"/>
      <c r="H233" s="152"/>
    </row>
    <row r="234" spans="2:8" s="43" customFormat="1" ht="54" x14ac:dyDescent="0.3">
      <c r="B234" s="44" t="s">
        <v>80</v>
      </c>
      <c r="C234" s="45">
        <v>10</v>
      </c>
      <c r="D234" s="126" t="str">
        <f t="shared" si="19"/>
        <v xml:space="preserve"> 50 min</v>
      </c>
      <c r="E234" s="201" t="s">
        <v>180</v>
      </c>
      <c r="F234" s="250"/>
      <c r="G234" s="251"/>
      <c r="H234" s="152"/>
    </row>
    <row r="235" spans="2:8" s="43" customFormat="1" x14ac:dyDescent="0.3">
      <c r="B235" s="44"/>
      <c r="C235" s="45"/>
      <c r="D235" s="126" t="str">
        <f t="shared" si="19"/>
        <v/>
      </c>
      <c r="E235" s="46"/>
      <c r="F235" s="250"/>
      <c r="G235" s="251"/>
      <c r="H235" s="152"/>
    </row>
    <row r="236" spans="2:8" s="43" customFormat="1" x14ac:dyDescent="0.3">
      <c r="B236" s="45"/>
      <c r="C236" s="45"/>
      <c r="D236" s="127" t="str">
        <f t="shared" si="19"/>
        <v/>
      </c>
      <c r="E236" s="46"/>
      <c r="F236" s="250"/>
      <c r="G236" s="251"/>
      <c r="H236" s="152"/>
    </row>
    <row r="237" spans="2:8" s="43" customFormat="1" x14ac:dyDescent="0.3">
      <c r="B237" s="45"/>
      <c r="C237" s="45"/>
      <c r="D237" s="127" t="str">
        <f t="shared" si="19"/>
        <v/>
      </c>
      <c r="E237" s="46"/>
      <c r="F237" s="250"/>
      <c r="G237" s="251"/>
      <c r="H237" s="152"/>
    </row>
    <row r="238" spans="2:8" s="43" customFormat="1" x14ac:dyDescent="0.3">
      <c r="B238" s="45"/>
      <c r="C238" s="45"/>
      <c r="D238" s="127" t="str">
        <f t="shared" si="19"/>
        <v/>
      </c>
      <c r="E238" s="46"/>
      <c r="F238" s="250"/>
      <c r="G238" s="251"/>
      <c r="H238" s="152"/>
    </row>
    <row r="239" spans="2:8" s="43" customFormat="1" ht="15" thickBot="1" x14ac:dyDescent="0.35">
      <c r="B239" s="47"/>
      <c r="C239" s="47"/>
      <c r="D239" s="128" t="str">
        <f t="shared" si="19"/>
        <v/>
      </c>
      <c r="E239" s="48"/>
      <c r="F239" s="254"/>
      <c r="G239" s="255"/>
      <c r="H239" s="152"/>
    </row>
    <row r="240" spans="2:8" s="43" customFormat="1" ht="15" thickBot="1" x14ac:dyDescent="0.35">
      <c r="B240" s="135" t="s">
        <v>64</v>
      </c>
      <c r="C240" s="66">
        <f>SUM(C232:C239)</f>
        <v>29</v>
      </c>
      <c r="D240" s="135" t="str">
        <f xml:space="preserve"> setValueToTime(C240)</f>
        <v>2h 25 min</v>
      </c>
      <c r="E240" s="96"/>
      <c r="F240" s="256"/>
      <c r="G240" s="257"/>
      <c r="H240" s="152"/>
    </row>
    <row r="241" spans="2:8" s="43" customFormat="1" ht="15" thickBot="1" x14ac:dyDescent="0.35">
      <c r="B241" s="60"/>
      <c r="C241" s="60"/>
      <c r="D241" s="60"/>
      <c r="E241" s="60"/>
      <c r="F241" s="60"/>
      <c r="G241" s="60"/>
      <c r="H241" s="152"/>
    </row>
    <row r="242" spans="2:8" s="39" customFormat="1" ht="30" customHeight="1" thickBot="1" x14ac:dyDescent="0.3">
      <c r="B242" s="129" t="s">
        <v>57</v>
      </c>
      <c r="C242" s="137">
        <v>3</v>
      </c>
      <c r="D242" s="137"/>
      <c r="E242" s="130" t="s">
        <v>58</v>
      </c>
      <c r="F242" s="131" t="s">
        <v>121</v>
      </c>
      <c r="G242" s="132" t="s">
        <v>78</v>
      </c>
      <c r="H242" s="151"/>
    </row>
    <row r="243" spans="2:8" s="39" customFormat="1" ht="30" customHeight="1" thickBot="1" x14ac:dyDescent="0.3">
      <c r="B243" s="61" t="s">
        <v>59</v>
      </c>
      <c r="C243" s="134" t="s">
        <v>60</v>
      </c>
      <c r="D243" s="133"/>
      <c r="E243" s="61" t="s">
        <v>61</v>
      </c>
      <c r="F243" s="258" t="s">
        <v>62</v>
      </c>
      <c r="G243" s="259"/>
      <c r="H243" s="151"/>
    </row>
    <row r="244" spans="2:8" s="43" customFormat="1" ht="27" x14ac:dyDescent="0.3">
      <c r="B244" s="40" t="s">
        <v>52</v>
      </c>
      <c r="C244" s="41">
        <v>8</v>
      </c>
      <c r="D244" s="125" t="str">
        <f xml:space="preserve"> IF(C244="","",setValueToTime(C244))</f>
        <v xml:space="preserve"> 40 min</v>
      </c>
      <c r="E244" s="42" t="s">
        <v>181</v>
      </c>
      <c r="F244" s="248"/>
      <c r="G244" s="249"/>
      <c r="H244" s="152"/>
    </row>
    <row r="245" spans="2:8" s="43" customFormat="1" x14ac:dyDescent="0.3">
      <c r="B245" s="44" t="s">
        <v>88</v>
      </c>
      <c r="C245" s="45">
        <v>8</v>
      </c>
      <c r="D245" s="126" t="str">
        <f t="shared" ref="D245:D251" si="20" xml:space="preserve"> IF(C245="","",setValueToTime(C245))</f>
        <v xml:space="preserve"> 40 min</v>
      </c>
      <c r="E245" s="46" t="s">
        <v>182</v>
      </c>
      <c r="F245" s="250"/>
      <c r="G245" s="251"/>
      <c r="H245" s="152"/>
    </row>
    <row r="246" spans="2:8" s="43" customFormat="1" ht="27" x14ac:dyDescent="0.3">
      <c r="B246" s="44" t="s">
        <v>96</v>
      </c>
      <c r="C246" s="45">
        <v>5</v>
      </c>
      <c r="D246" s="126" t="str">
        <f t="shared" si="20"/>
        <v xml:space="preserve"> 25 min</v>
      </c>
      <c r="E246" s="201" t="s">
        <v>183</v>
      </c>
      <c r="F246" s="250"/>
      <c r="G246" s="251"/>
      <c r="H246" s="152"/>
    </row>
    <row r="247" spans="2:8" s="43" customFormat="1" x14ac:dyDescent="0.3">
      <c r="B247" s="44" t="s">
        <v>54</v>
      </c>
      <c r="C247" s="45">
        <v>16</v>
      </c>
      <c r="D247" s="126" t="str">
        <f t="shared" si="20"/>
        <v>1h 20 min</v>
      </c>
      <c r="E247" s="201" t="s">
        <v>184</v>
      </c>
      <c r="F247" s="250"/>
      <c r="G247" s="251"/>
      <c r="H247" s="152"/>
    </row>
    <row r="248" spans="2:8" s="43" customFormat="1" ht="27" x14ac:dyDescent="0.3">
      <c r="B248" s="45" t="s">
        <v>53</v>
      </c>
      <c r="C248" s="45">
        <v>1</v>
      </c>
      <c r="D248" s="127" t="str">
        <f t="shared" si="20"/>
        <v xml:space="preserve"> 5 min</v>
      </c>
      <c r="E248" s="46" t="s">
        <v>169</v>
      </c>
      <c r="F248" s="250"/>
      <c r="G248" s="251"/>
      <c r="H248" s="152"/>
    </row>
    <row r="249" spans="2:8" s="43" customFormat="1" x14ac:dyDescent="0.3">
      <c r="B249" s="45"/>
      <c r="C249" s="45"/>
      <c r="D249" s="127" t="str">
        <f t="shared" si="20"/>
        <v/>
      </c>
      <c r="E249" s="46"/>
      <c r="F249" s="250"/>
      <c r="G249" s="251"/>
      <c r="H249" s="152"/>
    </row>
    <row r="250" spans="2:8" s="43" customFormat="1" x14ac:dyDescent="0.3">
      <c r="B250" s="45"/>
      <c r="C250" s="45"/>
      <c r="D250" s="127" t="str">
        <f t="shared" si="20"/>
        <v/>
      </c>
      <c r="E250" s="46"/>
      <c r="F250" s="250"/>
      <c r="G250" s="251"/>
      <c r="H250" s="152"/>
    </row>
    <row r="251" spans="2:8" s="43" customFormat="1" ht="15" thickBot="1" x14ac:dyDescent="0.35">
      <c r="B251" s="47"/>
      <c r="C251" s="47"/>
      <c r="D251" s="128" t="str">
        <f t="shared" si="20"/>
        <v/>
      </c>
      <c r="E251" s="48"/>
      <c r="F251" s="254"/>
      <c r="G251" s="255"/>
      <c r="H251" s="152"/>
    </row>
    <row r="252" spans="2:8" s="43" customFormat="1" ht="15" thickBot="1" x14ac:dyDescent="0.35">
      <c r="B252" s="135" t="s">
        <v>64</v>
      </c>
      <c r="C252" s="66">
        <f>SUM(C244:C251)</f>
        <v>38</v>
      </c>
      <c r="D252" s="135" t="str">
        <f xml:space="preserve"> setValueToTime(C252)</f>
        <v>3h 10 min</v>
      </c>
      <c r="E252" s="96"/>
      <c r="F252" s="256"/>
      <c r="G252" s="257"/>
      <c r="H252" s="152"/>
    </row>
    <row r="253" spans="2:8" s="43" customFormat="1" ht="15" thickBot="1" x14ac:dyDescent="0.35">
      <c r="B253" s="60"/>
      <c r="C253" s="60"/>
      <c r="D253" s="60"/>
      <c r="E253" s="60"/>
      <c r="F253" s="60"/>
      <c r="G253" s="60"/>
      <c r="H253" s="152"/>
    </row>
    <row r="254" spans="2:8" s="39" customFormat="1" ht="30" customHeight="1" thickBot="1" x14ac:dyDescent="0.3">
      <c r="B254" s="129" t="s">
        <v>57</v>
      </c>
      <c r="C254" s="137">
        <v>2</v>
      </c>
      <c r="D254" s="137"/>
      <c r="E254" s="130" t="s">
        <v>58</v>
      </c>
      <c r="F254" s="131" t="s">
        <v>122</v>
      </c>
      <c r="G254" s="132" t="s">
        <v>79</v>
      </c>
      <c r="H254" s="151"/>
    </row>
    <row r="255" spans="2:8" s="39" customFormat="1" ht="30" customHeight="1" thickBot="1" x14ac:dyDescent="0.3">
      <c r="B255" s="61" t="s">
        <v>59</v>
      </c>
      <c r="C255" s="134" t="s">
        <v>60</v>
      </c>
      <c r="D255" s="133"/>
      <c r="E255" s="61" t="s">
        <v>61</v>
      </c>
      <c r="F255" s="258" t="s">
        <v>62</v>
      </c>
      <c r="G255" s="259"/>
      <c r="H255" s="151"/>
    </row>
    <row r="256" spans="2:8" s="43" customFormat="1" ht="27" x14ac:dyDescent="0.3">
      <c r="B256" s="40" t="s">
        <v>96</v>
      </c>
      <c r="C256" s="41">
        <v>5</v>
      </c>
      <c r="D256" s="125" t="str">
        <f xml:space="preserve"> IF(C256="","",setValueToTime(C256))</f>
        <v xml:space="preserve"> 25 min</v>
      </c>
      <c r="E256" s="46" t="s">
        <v>185</v>
      </c>
      <c r="F256" s="248"/>
      <c r="G256" s="249"/>
      <c r="H256" s="152"/>
    </row>
    <row r="257" spans="2:8" s="43" customFormat="1" ht="27" x14ac:dyDescent="0.3">
      <c r="B257" s="44" t="s">
        <v>52</v>
      </c>
      <c r="C257" s="45">
        <v>33</v>
      </c>
      <c r="D257" s="126" t="str">
        <f t="shared" ref="D257:D263" si="21" xml:space="preserve"> IF(C257="","",setValueToTime(C257))</f>
        <v>2h 45 min</v>
      </c>
      <c r="E257" s="46" t="s">
        <v>186</v>
      </c>
      <c r="F257" s="250"/>
      <c r="G257" s="251"/>
      <c r="H257" s="152"/>
    </row>
    <row r="258" spans="2:8" s="43" customFormat="1" x14ac:dyDescent="0.3">
      <c r="B258" s="44"/>
      <c r="C258" s="45"/>
      <c r="D258" s="126" t="str">
        <f t="shared" si="21"/>
        <v/>
      </c>
      <c r="E258" s="46"/>
      <c r="F258" s="250"/>
      <c r="G258" s="251"/>
      <c r="H258" s="152"/>
    </row>
    <row r="259" spans="2:8" s="43" customFormat="1" x14ac:dyDescent="0.3">
      <c r="B259" s="44"/>
      <c r="C259" s="45"/>
      <c r="D259" s="126" t="str">
        <f t="shared" si="21"/>
        <v/>
      </c>
      <c r="E259" s="46"/>
      <c r="F259" s="250"/>
      <c r="G259" s="251"/>
      <c r="H259" s="152"/>
    </row>
    <row r="260" spans="2:8" s="43" customFormat="1" x14ac:dyDescent="0.3">
      <c r="B260" s="45"/>
      <c r="C260" s="45"/>
      <c r="D260" s="127" t="str">
        <f t="shared" si="21"/>
        <v/>
      </c>
      <c r="E260" s="46"/>
      <c r="F260" s="250"/>
      <c r="G260" s="251"/>
      <c r="H260" s="152"/>
    </row>
    <row r="261" spans="2:8" s="43" customFormat="1" x14ac:dyDescent="0.3">
      <c r="B261" s="45"/>
      <c r="C261" s="45"/>
      <c r="D261" s="127" t="str">
        <f t="shared" si="21"/>
        <v/>
      </c>
      <c r="E261" s="46"/>
      <c r="F261" s="250"/>
      <c r="G261" s="251"/>
      <c r="H261" s="152"/>
    </row>
    <row r="262" spans="2:8" s="43" customFormat="1" x14ac:dyDescent="0.3">
      <c r="B262" s="45"/>
      <c r="C262" s="45"/>
      <c r="D262" s="127" t="str">
        <f t="shared" si="21"/>
        <v/>
      </c>
      <c r="E262" s="46"/>
      <c r="F262" s="250"/>
      <c r="G262" s="251"/>
      <c r="H262" s="152"/>
    </row>
    <row r="263" spans="2:8" s="43" customFormat="1" ht="15" thickBot="1" x14ac:dyDescent="0.35">
      <c r="B263" s="47"/>
      <c r="C263" s="47"/>
      <c r="D263" s="128" t="str">
        <f t="shared" si="21"/>
        <v/>
      </c>
      <c r="E263" s="48"/>
      <c r="F263" s="254"/>
      <c r="G263" s="255"/>
      <c r="H263" s="152"/>
    </row>
    <row r="264" spans="2:8" s="43" customFormat="1" ht="15" thickBot="1" x14ac:dyDescent="0.35">
      <c r="B264" s="135" t="s">
        <v>64</v>
      </c>
      <c r="C264" s="66">
        <f>SUM(C256:C263)</f>
        <v>38</v>
      </c>
      <c r="D264" s="135" t="str">
        <f xml:space="preserve"> setValueToTime(C264)</f>
        <v>3h 10 min</v>
      </c>
      <c r="E264" s="96"/>
      <c r="F264" s="256"/>
      <c r="G264" s="257"/>
      <c r="H264" s="152"/>
    </row>
    <row r="265" spans="2:8" s="43" customFormat="1" ht="15" thickBot="1" x14ac:dyDescent="0.35">
      <c r="B265" s="60"/>
      <c r="C265" s="60"/>
      <c r="D265" s="60"/>
      <c r="E265" s="60"/>
      <c r="F265" s="60"/>
      <c r="G265" s="60"/>
      <c r="H265" s="152"/>
    </row>
    <row r="266" spans="2:8" s="39" customFormat="1" ht="30" customHeight="1" thickBot="1" x14ac:dyDescent="0.3">
      <c r="B266" s="129" t="s">
        <v>57</v>
      </c>
      <c r="C266" s="137">
        <v>1</v>
      </c>
      <c r="D266" s="137"/>
      <c r="E266" s="130" t="s">
        <v>58</v>
      </c>
      <c r="F266" s="131" t="s">
        <v>122</v>
      </c>
      <c r="G266" s="132" t="s">
        <v>78</v>
      </c>
      <c r="H266" s="151"/>
    </row>
    <row r="267" spans="2:8" s="39" customFormat="1" ht="30" customHeight="1" thickBot="1" x14ac:dyDescent="0.3">
      <c r="B267" s="61" t="s">
        <v>59</v>
      </c>
      <c r="C267" s="134" t="s">
        <v>60</v>
      </c>
      <c r="D267" s="133"/>
      <c r="E267" s="61" t="s">
        <v>61</v>
      </c>
      <c r="F267" s="258" t="s">
        <v>62</v>
      </c>
      <c r="G267" s="259"/>
      <c r="H267" s="151"/>
    </row>
    <row r="268" spans="2:8" s="43" customFormat="1" x14ac:dyDescent="0.3">
      <c r="B268" s="40" t="s">
        <v>69</v>
      </c>
      <c r="C268" s="41">
        <v>6</v>
      </c>
      <c r="D268" s="125" t="str">
        <f xml:space="preserve"> IF(C268="","",setValueToTime(C268))</f>
        <v xml:space="preserve"> 30 min</v>
      </c>
      <c r="E268" s="42" t="s">
        <v>187</v>
      </c>
      <c r="F268" s="248"/>
      <c r="G268" s="249"/>
      <c r="H268" s="152"/>
    </row>
    <row r="269" spans="2:8" s="43" customFormat="1" ht="27" x14ac:dyDescent="0.3">
      <c r="B269" s="44" t="s">
        <v>96</v>
      </c>
      <c r="C269" s="45">
        <v>5</v>
      </c>
      <c r="D269" s="126" t="str">
        <f t="shared" ref="D269:D275" si="22" xml:space="preserve"> IF(C269="","",setValueToTime(C269))</f>
        <v xml:space="preserve"> 25 min</v>
      </c>
      <c r="E269" s="46" t="s">
        <v>188</v>
      </c>
      <c r="F269" s="250"/>
      <c r="G269" s="251"/>
      <c r="H269" s="152"/>
    </row>
    <row r="270" spans="2:8" s="43" customFormat="1" ht="27" x14ac:dyDescent="0.3">
      <c r="B270" s="44" t="s">
        <v>70</v>
      </c>
      <c r="C270" s="45">
        <v>3</v>
      </c>
      <c r="D270" s="126" t="str">
        <f t="shared" si="22"/>
        <v xml:space="preserve"> 15 min</v>
      </c>
      <c r="E270" s="46" t="s">
        <v>189</v>
      </c>
      <c r="F270" s="250"/>
      <c r="G270" s="251"/>
      <c r="H270" s="152"/>
    </row>
    <row r="271" spans="2:8" s="43" customFormat="1" ht="27" x14ac:dyDescent="0.3">
      <c r="B271" s="44" t="s">
        <v>52</v>
      </c>
      <c r="C271" s="45">
        <v>34</v>
      </c>
      <c r="D271" s="126" t="str">
        <f t="shared" si="22"/>
        <v>2h 50 min</v>
      </c>
      <c r="E271" s="46" t="s">
        <v>186</v>
      </c>
      <c r="F271" s="250"/>
      <c r="G271" s="251"/>
      <c r="H271" s="152"/>
    </row>
    <row r="272" spans="2:8" s="43" customFormat="1" x14ac:dyDescent="0.3">
      <c r="B272" s="45"/>
      <c r="C272" s="45"/>
      <c r="D272" s="127" t="str">
        <f t="shared" si="22"/>
        <v/>
      </c>
      <c r="E272" s="46"/>
      <c r="F272" s="250"/>
      <c r="G272" s="251"/>
      <c r="H272" s="152"/>
    </row>
    <row r="273" spans="2:8" s="43" customFormat="1" x14ac:dyDescent="0.3">
      <c r="B273" s="45"/>
      <c r="C273" s="45"/>
      <c r="D273" s="127" t="str">
        <f t="shared" si="22"/>
        <v/>
      </c>
      <c r="E273" s="46"/>
      <c r="F273" s="250"/>
      <c r="G273" s="251"/>
      <c r="H273" s="152"/>
    </row>
    <row r="274" spans="2:8" s="43" customFormat="1" x14ac:dyDescent="0.3">
      <c r="B274" s="45"/>
      <c r="C274" s="45"/>
      <c r="D274" s="127" t="str">
        <f t="shared" si="22"/>
        <v/>
      </c>
      <c r="E274" s="46"/>
      <c r="F274" s="250"/>
      <c r="G274" s="251"/>
      <c r="H274" s="152"/>
    </row>
    <row r="275" spans="2:8" s="43" customFormat="1" ht="15" thickBot="1" x14ac:dyDescent="0.35">
      <c r="B275" s="47"/>
      <c r="C275" s="47"/>
      <c r="D275" s="128" t="str">
        <f t="shared" si="22"/>
        <v/>
      </c>
      <c r="E275" s="48"/>
      <c r="F275" s="254"/>
      <c r="G275" s="255"/>
      <c r="H275" s="152"/>
    </row>
    <row r="276" spans="2:8" s="43" customFormat="1" ht="15" thickBot="1" x14ac:dyDescent="0.35">
      <c r="B276" s="135" t="s">
        <v>64</v>
      </c>
      <c r="C276" s="66">
        <f>SUM(C268:C275)</f>
        <v>48</v>
      </c>
      <c r="D276" s="135" t="str">
        <f xml:space="preserve"> setValueToTime(C276)</f>
        <v>4h</v>
      </c>
      <c r="E276" s="96"/>
      <c r="F276" s="256"/>
      <c r="G276" s="257"/>
      <c r="H276" s="152"/>
    </row>
    <row r="277" spans="2:8" s="43" customFormat="1" x14ac:dyDescent="0.3">
      <c r="B277" s="60"/>
      <c r="C277" s="60"/>
      <c r="D277" s="60"/>
      <c r="E277" s="60"/>
      <c r="F277" s="60"/>
      <c r="G277" s="60"/>
      <c r="H277" s="152"/>
    </row>
  </sheetData>
  <sheetProtection formatRows="0" insertRows="0" insertHyperlinks="0" deleteRows="0" selectLockedCells="1"/>
  <mergeCells count="230">
    <mergeCell ref="F36:G36"/>
    <mergeCell ref="F27:G27"/>
    <mergeCell ref="F28:G28"/>
    <mergeCell ref="F29:G29"/>
    <mergeCell ref="F30:G30"/>
    <mergeCell ref="F31:G31"/>
    <mergeCell ref="F32:G32"/>
    <mergeCell ref="F33:G33"/>
    <mergeCell ref="F34:G34"/>
    <mergeCell ref="F35:G35"/>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44:G144"/>
    <mergeCell ref="F123:G123"/>
    <mergeCell ref="F124:G124"/>
    <mergeCell ref="F125:G125"/>
    <mergeCell ref="F126:G126"/>
    <mergeCell ref="F127:G127"/>
    <mergeCell ref="F128:G128"/>
    <mergeCell ref="F129:G129"/>
    <mergeCell ref="F130:G130"/>
    <mergeCell ref="F131:G131"/>
    <mergeCell ref="F132:G132"/>
    <mergeCell ref="F135:G135"/>
    <mergeCell ref="F136:G136"/>
    <mergeCell ref="F137:G137"/>
    <mergeCell ref="F138:G138"/>
    <mergeCell ref="F139:G139"/>
    <mergeCell ref="F140:G140"/>
    <mergeCell ref="F141:G141"/>
    <mergeCell ref="F142:G142"/>
    <mergeCell ref="F143:G143"/>
    <mergeCell ref="F152:G152"/>
    <mergeCell ref="F153:G153"/>
    <mergeCell ref="F154:G154"/>
    <mergeCell ref="F155:G155"/>
    <mergeCell ref="F156:G156"/>
    <mergeCell ref="F147:G147"/>
    <mergeCell ref="F148:G148"/>
    <mergeCell ref="F149:G149"/>
    <mergeCell ref="F150:G150"/>
    <mergeCell ref="F151:G151"/>
    <mergeCell ref="F164:G164"/>
    <mergeCell ref="F165:G165"/>
    <mergeCell ref="F166:G166"/>
    <mergeCell ref="F167:G167"/>
    <mergeCell ref="F168:G168"/>
    <mergeCell ref="F159:G159"/>
    <mergeCell ref="F160:G160"/>
    <mergeCell ref="F161:G161"/>
    <mergeCell ref="F162:G162"/>
    <mergeCell ref="F163:G163"/>
    <mergeCell ref="F200:G200"/>
    <mergeCell ref="F201:G201"/>
    <mergeCell ref="F202:G202"/>
    <mergeCell ref="F203:G203"/>
    <mergeCell ref="F204:G204"/>
    <mergeCell ref="F195:G195"/>
    <mergeCell ref="F196:G196"/>
    <mergeCell ref="F197:G197"/>
    <mergeCell ref="F198:G198"/>
    <mergeCell ref="F199:G199"/>
    <mergeCell ref="F273:G273"/>
    <mergeCell ref="F274:G274"/>
    <mergeCell ref="F275:G275"/>
    <mergeCell ref="F276:G276"/>
    <mergeCell ref="F255:G255"/>
    <mergeCell ref="F256:G256"/>
    <mergeCell ref="F257:G257"/>
    <mergeCell ref="F258:G258"/>
    <mergeCell ref="F259:G259"/>
    <mergeCell ref="F260:G260"/>
    <mergeCell ref="F267:G267"/>
    <mergeCell ref="F268:G268"/>
    <mergeCell ref="F269:G269"/>
    <mergeCell ref="F270:G270"/>
    <mergeCell ref="F271:G271"/>
    <mergeCell ref="F272:G272"/>
    <mergeCell ref="F262:G262"/>
    <mergeCell ref="F263:G263"/>
    <mergeCell ref="F264:G264"/>
    <mergeCell ref="F252:G252"/>
    <mergeCell ref="F261:G261"/>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192:G192"/>
    <mergeCell ref="F171:G171"/>
    <mergeCell ref="F172:G172"/>
    <mergeCell ref="F173:G173"/>
    <mergeCell ref="F174:G174"/>
    <mergeCell ref="F175:G175"/>
    <mergeCell ref="F176:G176"/>
    <mergeCell ref="F177:G177"/>
    <mergeCell ref="F178:G178"/>
    <mergeCell ref="F179:G179"/>
    <mergeCell ref="F180:G180"/>
    <mergeCell ref="F183:G183"/>
    <mergeCell ref="F184:G184"/>
    <mergeCell ref="F185:G185"/>
    <mergeCell ref="F186:G186"/>
    <mergeCell ref="F187:G187"/>
    <mergeCell ref="F188:G188"/>
    <mergeCell ref="F189:G189"/>
    <mergeCell ref="F190:G190"/>
    <mergeCell ref="F191:G191"/>
    <mergeCell ref="F120:G120"/>
    <mergeCell ref="F111:G111"/>
    <mergeCell ref="F112:G112"/>
    <mergeCell ref="F113:G113"/>
    <mergeCell ref="F114:G114"/>
    <mergeCell ref="F115:G115"/>
    <mergeCell ref="F116:G116"/>
    <mergeCell ref="F117:G117"/>
    <mergeCell ref="F118:G118"/>
    <mergeCell ref="F119:G11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s>
  <phoneticPr fontId="0" type="noConversion"/>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44:C251 C268:C275 C256:C263 C232:C239 C220:C227 C208:C215 C196:C203 C184:C191 C172:C179 C160:C167 C148:C155 C136:C143 C124:C131 C112:C119 C100:C107 C88:C95 C76:C83 C64:C71 C52:C59 C40:C47 C28:C35 C16:C23 C4:C11" xr:uid="{BC506D4A-9D86-4037-91E6-0586A0540C9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76 C264 C252 C240 C228 C216 C204 C192 C180 C168 C156 C144 C132 C120 C108 C96 C84 C72 C60 C48 C36 C24 C12" xr:uid="{C90B1390-C336-4677-B8FF-E759F3A36E3B}">
      <formula1>0</formula1>
      <formula2>60</formula2>
    </dataValidation>
  </dataValidations>
  <hyperlinks>
    <hyperlink ref="F222" r:id="rId1" xr:uid="{200234E3-C42A-4B3C-91DC-2899E7326B2E}"/>
    <hyperlink ref="F197" r:id="rId2" display="https://www.instructables.com/ESP32-With-Integrated-OLED-WEMOSLolin-Getting-Star/" xr:uid="{45763836-7AE2-48A2-990D-7E0028550D1E}"/>
    <hyperlink ref="F185" r:id="rId3" display="https://www.youtube.com/watch?v=hr_6_xS2SZ4" xr:uid="{E72B197D-7435-47CF-97AF-050267F5FF81}"/>
    <hyperlink ref="F173" r:id="rId4" display="https://www.electronicwings.com/esp32/soil-moisture-sensor-interfacing-with-esp32" xr:uid="{B19AAD97-FD6B-4452-9FCD-3F5430239F67}"/>
    <hyperlink ref="F163" r:id="rId5" xr:uid="{20C07B67-54E3-4834-973D-87B7A39D79B2}"/>
    <hyperlink ref="F148" r:id="rId6" xr:uid="{E6BB774D-BAFF-45C2-BAEA-2DFC8233AF45}"/>
    <hyperlink ref="F149" r:id="rId7" xr:uid="{FD731859-D049-41E6-AA65-432FE5175DD1}"/>
    <hyperlink ref="F160" r:id="rId8" xr:uid="{110D3B79-CF26-4E9B-924A-6EB0687B8679}"/>
    <hyperlink ref="F162" r:id="rId9" xr:uid="{9FF46BF4-8CC3-466A-872F-998FD6CF4EB0}"/>
    <hyperlink ref="F136" r:id="rId10" xr:uid="{D0B57AD2-320A-4899-A538-9555FD101F02}"/>
    <hyperlink ref="F137" r:id="rId11" xr:uid="{C9FE6FE6-ECE0-4EF0-BBB4-276111A45316}"/>
    <hyperlink ref="F125" r:id="rId12" xr:uid="{FA1B8DBE-96A0-44C8-9129-B10C2467D95D}"/>
    <hyperlink ref="F124" r:id="rId13" display="https://randomnerdtutorials.com/esp32-dht11-dht22-temperature-humidity-web-server-arduino-ide/?utm_source=chatgpt.com" xr:uid="{812B48B7-2BE5-4889-8CB1-3BDEA94E23AB}"/>
    <hyperlink ref="F114" r:id="rId14" display="https://forum.arduino.cc/t/relay-songle-srd-05vdc-sl-c-10a/574537/8" xr:uid="{9D7F288E-9DF5-4645-851B-D05D9C7E5E36}"/>
    <hyperlink ref="F88" r:id="rId15" xr:uid="{5BB2D0C4-63C2-4F55-B871-CBD52DE7E9F8}"/>
    <hyperlink ref="F89" r:id="rId16" display="https://randomnerdtutorials.com/esp32-http-get-post-arduino/" xr:uid="{D8FDDCA3-CD90-42C7-BA72-A41963DF2BCD}"/>
    <hyperlink ref="F101" r:id="rId17" xr:uid="{8010A331-C45F-48E0-A9C7-0AEB12B46866}"/>
    <hyperlink ref="F76" r:id="rId18" display="https://www.youtube.com/watch?v=z_rPvQhKTfY&amp;list=PLz5tspBvtZgEdeOTRZKBKNh-JPU4M3Dzc" xr:uid="{BA7BE079-5956-4D0A-A618-605412ED9CDE}"/>
    <hyperlink ref="F77" r:id="rId19" display="https://www.youtube.com/watch?v=NYP_CxdYzLo&amp;ab_channel=BrianLough" xr:uid="{F78B1E43-2A5C-4AC7-9AFF-84FC4E290C5C}"/>
    <hyperlink ref="F64" r:id="rId20" xr:uid="{C643CCE0-0A81-4045-8729-A942314B87A6}"/>
    <hyperlink ref="F53" r:id="rId21" display="https://www.tutorialspoint.com/esp32_for_iot/esp32_for_iot_spiffs_storage.htm?utm_source=chatgpt.com" xr:uid="{BC5A5589-D920-46BE-A36C-8C2797D2DAB2}"/>
    <hyperlink ref="F54" r:id="rId22" display="https://forum.arduino.cc/t/esp32-afficher-la-date-et-lheure-sur-la-console-arduino/1059753/11" xr:uid="{C2B263E1-0DD5-41A0-BA44-CA9530D20FFB}"/>
    <hyperlink ref="F40" r:id="rId23" display="https://www.youtube.com/watch?v=PAZUG7oSAwA&amp;t=134s" xr:uid="{6FAF1BAB-8CB5-4EED-AD46-9AD65127046F}"/>
    <hyperlink ref="F42" r:id="rId24" display="https://www.youtube.com/watch?v=jXEVZga9l1s" xr:uid="{B7A52589-EE3F-4AEC-B5B1-B3902D09CD65}"/>
    <hyperlink ref="F41" r:id="rId25" display="https://www.w3schools.com/whatis/whatis_json.asp " xr:uid="{8B0FF980-A30E-4751-90EF-BE1B919BA330}"/>
    <hyperlink ref="F28" r:id="rId26" display="https://esp32.com/viewtopic.php?t=14166" xr:uid="{1E38C15D-F329-4797-9993-5E5AA0848DC2}"/>
    <hyperlink ref="F30" r:id="rId27" display="https://chatgpt.com/" xr:uid="{1788D1EA-8A58-4AED-AE03-414802DBF80D}"/>
    <hyperlink ref="F31" r:id="rId28" xr:uid="{3FBFCB03-1FC4-40ED-BDEA-6E10CF70C1CB}"/>
    <hyperlink ref="F17" r:id="rId29" xr:uid="{95F27157-A085-4742-9E66-00C93694D7D6}"/>
    <hyperlink ref="F18" r:id="rId30" xr:uid="{63EE8363-235C-4D21-A616-96E16A2B99E3}"/>
    <hyperlink ref="F4" r:id="rId31" display="https://chatgpt.com/" xr:uid="{9E24FEE9-2090-494F-9329-0658DCCF857D}"/>
  </hyperlinks>
  <printOptions horizontalCentered="1" verticalCentered="1"/>
  <pageMargins left="0.25" right="0.25" top="0.75" bottom="0.75" header="0.3" footer="0.3"/>
  <pageSetup paperSize="9" fitToHeight="0" orientation="landscape" r:id="rId32"/>
  <headerFooter alignWithMargins="0">
    <oddHeader>&amp;L&amp;"ETML,Normal"&amp;14ETML&amp;R&amp;14&amp;USection Informatique</oddHeader>
    <oddFooter>&amp;L&amp;14&amp;D - GGZ&amp;C&amp;14&amp;F - &amp;A&amp;R&amp;14&amp;P/&amp;N</oddFooter>
  </headerFooter>
  <drawing r:id="rId33"/>
  <legacyDrawing r:id="rId34"/>
  <controls>
    <mc:AlternateContent xmlns:mc="http://schemas.openxmlformats.org/markup-compatibility/2006">
      <mc:Choice Requires="x14">
        <control shapeId="9220" r:id="rId35" name="btnAjoutSeqJournal">
          <controlPr defaultSize="0" autoLine="0" r:id="rId36">
            <anchor moveWithCells="1">
              <from>
                <xdr:col>3</xdr:col>
                <xdr:colOff>85725</xdr:colOff>
                <xdr:row>0</xdr:row>
                <xdr:rowOff>85725</xdr:rowOff>
              </from>
              <to>
                <xdr:col>4</xdr:col>
                <xdr:colOff>762000</xdr:colOff>
                <xdr:row>0</xdr:row>
                <xdr:rowOff>561975</xdr:rowOff>
              </to>
            </anchor>
          </controlPr>
        </control>
      </mc:Choice>
      <mc:Fallback>
        <control shapeId="9220" r:id="rId35" name="btnAjoutSeqJournal"/>
      </mc:Fallback>
    </mc:AlternateContent>
    <mc:AlternateContent xmlns:mc="http://schemas.openxmlformats.org/markup-compatibility/2006">
      <mc:Choice Requires="x14">
        <control shapeId="9224" r:id="rId37" name="btnRapatriementJournal">
          <controlPr defaultSize="0" autoLine="0" r:id="rId38">
            <anchor moveWithCells="1">
              <from>
                <xdr:col>1</xdr:col>
                <xdr:colOff>104775</xdr:colOff>
                <xdr:row>0</xdr:row>
                <xdr:rowOff>85725</xdr:rowOff>
              </from>
              <to>
                <xdr:col>2</xdr:col>
                <xdr:colOff>457200</xdr:colOff>
                <xdr:row>0</xdr:row>
                <xdr:rowOff>552450</xdr:rowOff>
              </to>
            </anchor>
          </controlPr>
        </control>
      </mc:Choice>
      <mc:Fallback>
        <control shapeId="9224" r:id="rId37"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0E996FB-7D08-4B75-9E97-C3607063B03E}">
          <x14:formula1>
            <xm:f>OFFSET(Bilan!$B:$B,14,0,COUNTA(Bilan!$C$15:$C$93))</xm:f>
          </x14:formula1>
          <xm:sqref>B244:B251 B268:B275 B256:B263 B232:B239 B224:B227 B208:B209 B212:B215 B196:B198 B200:B203 B187:B191 B184:B185 B172:B174 B176:B179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3"/>
      <c r="B10" s="213"/>
      <c r="C10" s="213"/>
      <c r="D10" s="213"/>
      <c r="E10" s="213"/>
      <c r="F10" s="213"/>
      <c r="G10" s="213"/>
      <c r="H10" s="213"/>
      <c r="I10" s="213"/>
      <c r="J10" s="213"/>
      <c r="K10" s="213"/>
      <c r="L10" s="213"/>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73"/>
    </row>
    <row r="11" spans="1:61" ht="18" x14ac:dyDescent="0.25">
      <c r="A11" s="214"/>
      <c r="B11" s="214"/>
      <c r="C11" s="214"/>
      <c r="D11" s="214"/>
      <c r="E11" s="214"/>
      <c r="F11" s="214"/>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73"/>
    </row>
    <row r="12" spans="1:61" ht="18.75" thickBot="1" x14ac:dyDescent="0.3">
      <c r="A12" s="215"/>
      <c r="B12" s="215"/>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73"/>
    </row>
    <row r="13" spans="1:61" ht="18.75" thickBot="1" x14ac:dyDescent="0.3">
      <c r="A13" s="216" t="s">
        <v>57</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73"/>
    </row>
    <row r="14" spans="1:61" ht="15.75" thickBot="1" x14ac:dyDescent="0.35">
      <c r="A14" s="81"/>
      <c r="B14" s="82"/>
      <c r="C14" s="82"/>
      <c r="D14" s="82"/>
      <c r="E14" s="219" t="s">
        <v>41</v>
      </c>
      <c r="F14" s="219"/>
      <c r="G14" s="219"/>
      <c r="H14" s="219"/>
      <c r="I14" s="82"/>
      <c r="J14" s="82"/>
      <c r="K14" s="220" t="s">
        <v>42</v>
      </c>
      <c r="L14" s="220"/>
      <c r="M14" s="220"/>
      <c r="N14" s="220"/>
      <c r="O14" s="102"/>
      <c r="P14" s="102"/>
      <c r="Q14" s="219" t="s">
        <v>43</v>
      </c>
      <c r="R14" s="219"/>
      <c r="S14" s="219"/>
      <c r="T14" s="219"/>
      <c r="U14" s="82"/>
      <c r="V14" s="82"/>
      <c r="W14" s="220" t="s">
        <v>44</v>
      </c>
      <c r="X14" s="220"/>
      <c r="Y14" s="220"/>
      <c r="Z14" s="220"/>
      <c r="AA14" s="102"/>
      <c r="AB14" s="102"/>
      <c r="AC14" s="219" t="s">
        <v>45</v>
      </c>
      <c r="AD14" s="219"/>
      <c r="AE14" s="219"/>
      <c r="AF14" s="219"/>
      <c r="AG14" s="82"/>
      <c r="AH14" s="82"/>
      <c r="AI14" s="220" t="s">
        <v>46</v>
      </c>
      <c r="AJ14" s="220"/>
      <c r="AK14" s="220"/>
      <c r="AL14" s="220"/>
      <c r="AM14" s="102"/>
      <c r="AN14" s="102"/>
      <c r="AO14" s="219" t="s">
        <v>47</v>
      </c>
      <c r="AP14" s="219"/>
      <c r="AQ14" s="219"/>
      <c r="AR14" s="219"/>
      <c r="AS14" s="82"/>
      <c r="AT14" s="82"/>
      <c r="AU14" s="220" t="s">
        <v>48</v>
      </c>
      <c r="AV14" s="220"/>
      <c r="AW14" s="220"/>
      <c r="AX14" s="220"/>
      <c r="AY14" s="102"/>
      <c r="AZ14" s="102"/>
      <c r="BA14" s="219" t="s">
        <v>49</v>
      </c>
      <c r="BB14" s="219"/>
      <c r="BC14" s="219"/>
      <c r="BD14" s="219"/>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46" t="s">
        <v>62</v>
      </c>
      <c r="G2" s="247"/>
      <c r="H2" s="151"/>
    </row>
    <row r="3" spans="2:8" s="43" customFormat="1" x14ac:dyDescent="0.3">
      <c r="B3" s="40" t="s">
        <v>63</v>
      </c>
      <c r="C3" s="41"/>
      <c r="D3" s="125" t="str">
        <f xml:space="preserve"> IF(C3="","",setValueToTime(C3))</f>
        <v/>
      </c>
      <c r="E3" s="42"/>
      <c r="F3" s="248"/>
      <c r="G3" s="249"/>
      <c r="H3" s="152"/>
    </row>
    <row r="4" spans="2:8" s="43" customFormat="1" x14ac:dyDescent="0.3">
      <c r="B4" s="44"/>
      <c r="C4" s="45"/>
      <c r="D4" s="126" t="str">
        <f t="shared" ref="D4:D10" si="0" xml:space="preserve"> IF(C4="","",setValueToTime(C4))</f>
        <v/>
      </c>
      <c r="E4" s="46"/>
      <c r="F4" s="250"/>
      <c r="G4" s="251"/>
      <c r="H4" s="152"/>
    </row>
    <row r="5" spans="2:8" s="43" customFormat="1" x14ac:dyDescent="0.3">
      <c r="B5" s="44"/>
      <c r="C5" s="45"/>
      <c r="D5" s="126" t="str">
        <f t="shared" si="0"/>
        <v/>
      </c>
      <c r="E5" s="46"/>
      <c r="F5" s="250"/>
      <c r="G5" s="251"/>
      <c r="H5" s="152"/>
    </row>
    <row r="6" spans="2:8" s="43" customFormat="1" x14ac:dyDescent="0.3">
      <c r="B6" s="44"/>
      <c r="C6" s="45"/>
      <c r="D6" s="126" t="str">
        <f t="shared" si="0"/>
        <v/>
      </c>
      <c r="E6" s="46"/>
      <c r="F6" s="250"/>
      <c r="G6" s="251"/>
      <c r="H6" s="152"/>
    </row>
    <row r="7" spans="2:8" s="43" customFormat="1" x14ac:dyDescent="0.3">
      <c r="B7" s="44"/>
      <c r="C7" s="45"/>
      <c r="D7" s="127" t="str">
        <f t="shared" si="0"/>
        <v/>
      </c>
      <c r="E7" s="46"/>
      <c r="F7" s="250"/>
      <c r="G7" s="251"/>
      <c r="H7" s="152"/>
    </row>
    <row r="8" spans="2:8" s="43" customFormat="1" x14ac:dyDescent="0.3">
      <c r="B8" s="44"/>
      <c r="C8" s="45"/>
      <c r="D8" s="127" t="str">
        <f t="shared" si="0"/>
        <v/>
      </c>
      <c r="E8" s="46"/>
      <c r="F8" s="250"/>
      <c r="G8" s="251"/>
      <c r="H8" s="152"/>
    </row>
    <row r="9" spans="2:8" s="43" customFormat="1" x14ac:dyDescent="0.3">
      <c r="B9" s="44"/>
      <c r="C9" s="45"/>
      <c r="D9" s="127" t="str">
        <f t="shared" si="0"/>
        <v/>
      </c>
      <c r="E9" s="46"/>
      <c r="F9" s="250"/>
      <c r="G9" s="251"/>
      <c r="H9" s="152"/>
    </row>
    <row r="10" spans="2:8" s="43" customFormat="1" ht="15" thickBot="1" x14ac:dyDescent="0.35">
      <c r="B10" s="44"/>
      <c r="C10" s="47"/>
      <c r="D10" s="128" t="str">
        <f t="shared" si="0"/>
        <v/>
      </c>
      <c r="E10" s="48"/>
      <c r="F10" s="254"/>
      <c r="G10" s="255"/>
      <c r="H10" s="152"/>
    </row>
    <row r="11" spans="2:8" s="43" customFormat="1" ht="15" thickBot="1" x14ac:dyDescent="0.35">
      <c r="B11" s="86" t="s">
        <v>64</v>
      </c>
      <c r="C11" s="67">
        <f>SUM(C3:C10)</f>
        <v>0</v>
      </c>
      <c r="D11" s="86" t="str">
        <f xml:space="preserve"> setValueToTime(C11)</f>
        <v/>
      </c>
      <c r="E11" s="95"/>
      <c r="F11" s="252"/>
      <c r="G11" s="253"/>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58" t="s">
        <v>62</v>
      </c>
      <c r="G2" s="259"/>
      <c r="H2" s="151"/>
    </row>
    <row r="3" spans="2:8" s="43" customFormat="1" x14ac:dyDescent="0.3">
      <c r="B3" s="40"/>
      <c r="C3" s="41"/>
      <c r="D3" s="125" t="str">
        <f xml:space="preserve"> IF(C3="","",setValueToTime(C3))</f>
        <v/>
      </c>
      <c r="E3" s="42"/>
      <c r="F3" s="248"/>
      <c r="G3" s="249"/>
      <c r="H3" s="152"/>
    </row>
    <row r="4" spans="2:8" s="43" customFormat="1" x14ac:dyDescent="0.3">
      <c r="B4" s="44"/>
      <c r="C4" s="45"/>
      <c r="D4" s="126" t="str">
        <f t="shared" ref="D4:D10" si="0" xml:space="preserve"> IF(C4="","",setValueToTime(C4))</f>
        <v/>
      </c>
      <c r="E4" s="46"/>
      <c r="F4" s="250"/>
      <c r="G4" s="251"/>
      <c r="H4" s="152"/>
    </row>
    <row r="5" spans="2:8" s="43" customFormat="1" x14ac:dyDescent="0.3">
      <c r="B5" s="44"/>
      <c r="C5" s="45"/>
      <c r="D5" s="126" t="str">
        <f t="shared" si="0"/>
        <v/>
      </c>
      <c r="E5" s="46"/>
      <c r="F5" s="250"/>
      <c r="G5" s="251"/>
      <c r="H5" s="152"/>
    </row>
    <row r="6" spans="2:8" s="43" customFormat="1" x14ac:dyDescent="0.3">
      <c r="B6" s="44"/>
      <c r="C6" s="45"/>
      <c r="D6" s="126" t="str">
        <f t="shared" si="0"/>
        <v/>
      </c>
      <c r="E6" s="46"/>
      <c r="F6" s="250"/>
      <c r="G6" s="251"/>
      <c r="H6" s="152"/>
    </row>
    <row r="7" spans="2:8" s="43" customFormat="1" x14ac:dyDescent="0.3">
      <c r="B7" s="45"/>
      <c r="C7" s="45"/>
      <c r="D7" s="127" t="str">
        <f t="shared" si="0"/>
        <v/>
      </c>
      <c r="E7" s="46"/>
      <c r="F7" s="250"/>
      <c r="G7" s="251"/>
      <c r="H7" s="152"/>
    </row>
    <row r="8" spans="2:8" s="43" customFormat="1" x14ac:dyDescent="0.3">
      <c r="B8" s="45"/>
      <c r="C8" s="45"/>
      <c r="D8" s="127" t="str">
        <f t="shared" si="0"/>
        <v/>
      </c>
      <c r="E8" s="46"/>
      <c r="F8" s="250"/>
      <c r="G8" s="251"/>
      <c r="H8" s="152"/>
    </row>
    <row r="9" spans="2:8" s="43" customFormat="1" x14ac:dyDescent="0.3">
      <c r="B9" s="45"/>
      <c r="C9" s="45"/>
      <c r="D9" s="127" t="str">
        <f t="shared" si="0"/>
        <v/>
      </c>
      <c r="E9" s="46"/>
      <c r="F9" s="250"/>
      <c r="G9" s="251"/>
      <c r="H9" s="152"/>
    </row>
    <row r="10" spans="2:8" s="43" customFormat="1" ht="15" thickBot="1" x14ac:dyDescent="0.35">
      <c r="B10" s="47"/>
      <c r="C10" s="47"/>
      <c r="D10" s="128" t="str">
        <f t="shared" si="0"/>
        <v/>
      </c>
      <c r="E10" s="48"/>
      <c r="F10" s="254"/>
      <c r="G10" s="255"/>
      <c r="H10" s="152"/>
    </row>
    <row r="11" spans="2:8" s="43" customFormat="1" ht="15" thickBot="1" x14ac:dyDescent="0.35">
      <c r="B11" s="135" t="s">
        <v>64</v>
      </c>
      <c r="C11" s="66">
        <f>SUM(C3:C10)</f>
        <v>0</v>
      </c>
      <c r="D11" s="135" t="str">
        <f xml:space="preserve"> setValueToTime(C11)</f>
        <v/>
      </c>
      <c r="E11" s="96"/>
      <c r="F11" s="256"/>
      <c r="G11" s="25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microsoft.com/office/2006/documentManagement/types"/>
    <ds:schemaRef ds:uri="http://schemas.microsoft.com/office/2006/metadata/properties"/>
    <ds:schemaRef ds:uri="http://purl.org/dc/dcmitype/"/>
    <ds:schemaRef ds:uri="http://purl.org/dc/elements/1.1/"/>
    <ds:schemaRef ds:uri="http://schemas.microsoft.com/office/infopath/2007/PartnerControls"/>
    <ds:schemaRef ds:uri="766e0ef3-9166-4cc7-bffc-e6afe7b523a0"/>
    <ds:schemaRef ds:uri="http://purl.org/dc/terms/"/>
    <ds:schemaRef ds:uri="http://schemas.openxmlformats.org/package/2006/metadata/core-properties"/>
    <ds:schemaRef ds:uri="7f910b7e-5659-40b0-877b-7416054d0d55"/>
    <ds:schemaRef ds:uri="http://www.w3.org/XML/1998/namespac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Mefail Sulejmani</cp:lastModifiedBy>
  <cp:revision/>
  <cp:lastPrinted>2025-05-23T14:04:42Z</cp:lastPrinted>
  <dcterms:created xsi:type="dcterms:W3CDTF">1996-10-21T11:03:58Z</dcterms:created>
  <dcterms:modified xsi:type="dcterms:W3CDTF">2025-05-23T14:04:46Z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